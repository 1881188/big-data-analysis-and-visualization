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09499e03b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口年度" sheetId="1" r:id="R394a2b7a635b4d85"/>
    <x:sheet xmlns:r="http://schemas.openxmlformats.org/officeDocument/2006/relationships" name="年龄结构" sheetId="2" r:id="R11e5001440064ac6"/>
    <x:sheet xmlns:r="http://schemas.openxmlformats.org/officeDocument/2006/relationships" name="能源年度" sheetId="3" r:id="R196c28541b6443d1"/>
    <x:sheet xmlns:r="http://schemas.openxmlformats.org/officeDocument/2006/relationships" name="能源结构" sheetId="4" r:id="R107369716d03474c"/>
    <x:sheet xmlns:r="http://schemas.openxmlformats.org/officeDocument/2006/relationships" name="指标字典" sheetId="5" r:id="Rf51e02c28a1b4cf5"/>
    <x:sheet xmlns:r="http://schemas.openxmlformats.org/officeDocument/2006/relationships" name="覆盖情况" sheetId="6" r:id="Rd4ab092a7541453d"/>
    <x:sheet xmlns:r="http://schemas.openxmlformats.org/officeDocument/2006/relationships" name="来源与口径" sheetId="7" r:id="R0c36fb337e75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"/>
    <x:numFmt numFmtId="202" formatCode="0.00"/>
    <x:numFmt numFmtId="203" formatCode="0.00%"/>
    <x:numFmt numFmtId="204" formatCode="0.0%"/>
    <x:numFmt numFmtId="205" formatCode="#,##0.00"/>
    <x:numFmt numFmtId="206" formatCode="0.0"/>
  </x:numFmts>
  <x:fonts count="5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sz val="10"/>
      <x:color rgb="FF526174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fb078b9644b08" /><Relationship Type="http://schemas.openxmlformats.org/officeDocument/2006/relationships/theme" Target="/xl/theme/theme1.xml" Id="R98bcffa4fa7c46d1" /><Relationship Type="http://schemas.openxmlformats.org/officeDocument/2006/relationships/sharedStrings" Target="/xl/sharedStrings.xml" Id="R38c436c90fbe4272" /><Relationship Type="http://schemas.openxmlformats.org/officeDocument/2006/relationships/worksheet" Target="/xl/worksheets/sheet1.xml" Id="R394a2b7a635b4d85" /><Relationship Type="http://schemas.openxmlformats.org/officeDocument/2006/relationships/worksheet" Target="/xl/worksheets/sheet2.xml" Id="R11e5001440064ac6" /><Relationship Type="http://schemas.openxmlformats.org/officeDocument/2006/relationships/worksheet" Target="/xl/worksheets/sheet3.xml" Id="R196c28541b6443d1" /><Relationship Type="http://schemas.openxmlformats.org/officeDocument/2006/relationships/worksheet" Target="/xl/worksheets/sheet4.xml" Id="R107369716d03474c" /><Relationship Type="http://schemas.openxmlformats.org/officeDocument/2006/relationships/worksheet" Target="/xl/worksheets/sheet5.xml" Id="Rf51e02c28a1b4cf5" /><Relationship Type="http://schemas.openxmlformats.org/officeDocument/2006/relationships/worksheet" Target="/xl/worksheets/sheet6.xml" Id="Rd4ab092a7541453d" /><Relationship Type="http://schemas.openxmlformats.org/officeDocument/2006/relationships/worksheet" Target="/xl/worksheets/sheet7.xml" Id="R0c36fb337e754f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3" t="str">
        <x:v>人口年度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4" t="str">
        <x:v>来源：国家统计局国家数据；2008 为同比辅助年，2009—2023 为完整展示期，2024—2025 为扩展数据。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8" t="str">
        <x:v>年份</x:v>
      </x:c>
      <x:c r="B4" s="8" t="str">
        <x:v>年末总人口
万人</x:v>
      </x:c>
      <x:c r="C4" s="8" t="str">
        <x:v>城镇人口
万人</x:v>
      </x:c>
      <x:c r="D4" s="8" t="str">
        <x:v>乡村人口
万人</x:v>
      </x:c>
      <x:c r="E4" s="8" t="str">
        <x:v>城镇人口比重
计算值</x:v>
      </x:c>
      <x:c r="F4" s="8" t="str">
        <x:v>出生率
‰</x:v>
      </x:c>
      <x:c r="G4" s="8" t="str">
        <x:v>死亡率
‰</x:v>
      </x:c>
      <x:c r="H4" s="8" t="str">
        <x:v>自然增长率
‰</x:v>
      </x:c>
      <x:c r="I4" s="8" t="str">
        <x:v>男性人口
万人</x:v>
      </x:c>
      <x:c r="J4" s="8" t="str">
        <x:v>女性人口
万人</x:v>
      </x:c>
    </x:row>
    <x:row r="5" ht="23" customHeight="1">
      <x:c r="A5" s="10" t="n">
        <x:v>2008</x:v>
      </x:c>
      <x:c r="B5" s="12" t="n">
        <x:v>132802</x:v>
      </x:c>
      <x:c r="C5" s="12" t="n">
        <x:v>62403</x:v>
      </x:c>
      <x:c r="D5" s="12" t="n">
        <x:v>70399</x:v>
      </x:c>
      <x:c r="E5" s="14" t="n">
        <x:f>C5/B5</x:f>
        <x:v>0.4698950317013298</x:v>
      </x:c>
      <x:c r="F5" s="13" t="n">
        <x:v>12.14</x:v>
      </x:c>
      <x:c r="G5" s="13" t="n">
        <x:v>7.06</x:v>
      </x:c>
      <x:c r="H5" s="13" t="n">
        <x:v>5.08</x:v>
      </x:c>
      <x:c r="I5" s="12" t="n">
        <x:v>68357</x:v>
      </x:c>
      <x:c r="J5" s="12" t="n">
        <x:v>64445</x:v>
      </x:c>
    </x:row>
    <x:row r="6" ht="23" customHeight="1">
      <x:c r="A6" s="10" t="n">
        <x:v>2009</x:v>
      </x:c>
      <x:c r="B6" s="12" t="n">
        <x:v>133450</x:v>
      </x:c>
      <x:c r="C6" s="12" t="n">
        <x:v>64512</x:v>
      </x:c>
      <x:c r="D6" s="12" t="n">
        <x:v>68938</x:v>
      </x:c>
      <x:c r="E6" s="14" t="n">
        <x:f>C6/B6</x:f>
        <x:v>0.48341701011614835</x:v>
      </x:c>
      <x:c r="F6" s="13" t="n">
        <x:v>11.95</x:v>
      </x:c>
      <x:c r="G6" s="13" t="n">
        <x:v>7.08</x:v>
      </x:c>
      <x:c r="H6" s="13" t="n">
        <x:v>4.87</x:v>
      </x:c>
      <x:c r="I6" s="12" t="n">
        <x:v>68647</x:v>
      </x:c>
      <x:c r="J6" s="12" t="n">
        <x:v>64803</x:v>
      </x:c>
    </x:row>
    <x:row r="7" ht="23" customHeight="1">
      <x:c r="A7" s="10" t="n">
        <x:v>2010</x:v>
      </x:c>
      <x:c r="B7" s="12" t="n">
        <x:v>134091</x:v>
      </x:c>
      <x:c r="C7" s="12" t="n">
        <x:v>66978</x:v>
      </x:c>
      <x:c r="D7" s="12" t="n">
        <x:v>67113</x:v>
      </x:c>
      <x:c r="E7" s="14" t="n">
        <x:f>C7/B7</x:f>
        <x:v>0.49949661051077254</x:v>
      </x:c>
      <x:c r="F7" s="13" t="n">
        <x:v>11.9</x:v>
      </x:c>
      <x:c r="G7" s="13" t="n">
        <x:v>7.11</x:v>
      </x:c>
      <x:c r="H7" s="13" t="n">
        <x:v>4.79</x:v>
      </x:c>
      <x:c r="I7" s="12" t="n">
        <x:v>68748</x:v>
      </x:c>
      <x:c r="J7" s="12" t="n">
        <x:v>65343</x:v>
      </x:c>
    </x:row>
    <x:row r="8" ht="23" customHeight="1">
      <x:c r="A8" s="10" t="n">
        <x:v>2011</x:v>
      </x:c>
      <x:c r="B8" s="12" t="n">
        <x:v>134916</x:v>
      </x:c>
      <x:c r="C8" s="12" t="n">
        <x:v>69927</x:v>
      </x:c>
      <x:c r="D8" s="12" t="n">
        <x:v>64989</x:v>
      </x:c>
      <x:c r="E8" s="14" t="n">
        <x:f>C8/B8</x:f>
        <x:v>0.5183002757271191</x:v>
      </x:c>
      <x:c r="F8" s="13" t="n">
        <x:v>13.27</x:v>
      </x:c>
      <x:c r="G8" s="13" t="n">
        <x:v>7.14</x:v>
      </x:c>
      <x:c r="H8" s="13" t="n">
        <x:v>6.13</x:v>
      </x:c>
      <x:c r="I8" s="12" t="n">
        <x:v>69161</x:v>
      </x:c>
      <x:c r="J8" s="12" t="n">
        <x:v>65755</x:v>
      </x:c>
    </x:row>
    <x:row r="9" ht="23" customHeight="1">
      <x:c r="A9" s="10" t="n">
        <x:v>2012</x:v>
      </x:c>
      <x:c r="B9" s="12" t="n">
        <x:v>135922</x:v>
      </x:c>
      <x:c r="C9" s="12" t="n">
        <x:v>72175</x:v>
      </x:c>
      <x:c r="D9" s="12" t="n">
        <x:v>63747</x:v>
      </x:c>
      <x:c r="E9" s="14" t="n">
        <x:f>C9/B9</x:f>
        <x:v>0.5310030752931828</x:v>
      </x:c>
      <x:c r="F9" s="13" t="n">
        <x:v>14.57</x:v>
      </x:c>
      <x:c r="G9" s="13" t="n">
        <x:v>7.13</x:v>
      </x:c>
      <x:c r="H9" s="13" t="n">
        <x:v>7.43</x:v>
      </x:c>
      <x:c r="I9" s="12" t="n">
        <x:v>69660</x:v>
      </x:c>
      <x:c r="J9" s="12" t="n">
        <x:v>66262</x:v>
      </x:c>
    </x:row>
    <x:row r="10" ht="23" customHeight="1">
      <x:c r="A10" s="10" t="n">
        <x:v>2013</x:v>
      </x:c>
      <x:c r="B10" s="12" t="n">
        <x:v>136726</x:v>
      </x:c>
      <x:c r="C10" s="12" t="n">
        <x:v>74502</x:v>
      </x:c>
      <x:c r="D10" s="12" t="n">
        <x:v>62224</x:v>
      </x:c>
      <x:c r="E10" s="14" t="n">
        <x:f>C10/B10</x:f>
        <x:v>0.5449000190161345</x:v>
      </x:c>
      <x:c r="F10" s="13" t="n">
        <x:v>13.03</x:v>
      </x:c>
      <x:c r="G10" s="13" t="n">
        <x:v>7.13</x:v>
      </x:c>
      <x:c r="H10" s="13" t="n">
        <x:v>5.9</x:v>
      </x:c>
      <x:c r="I10" s="12" t="n">
        <x:v>70063</x:v>
      </x:c>
      <x:c r="J10" s="12" t="n">
        <x:v>66663</x:v>
      </x:c>
    </x:row>
    <x:row r="11" ht="23" customHeight="1">
      <x:c r="A11" s="10" t="n">
        <x:v>2014</x:v>
      </x:c>
      <x:c r="B11" s="12" t="n">
        <x:v>137646</x:v>
      </x:c>
      <x:c r="C11" s="12" t="n">
        <x:v>76738</x:v>
      </x:c>
      <x:c r="D11" s="12" t="n">
        <x:v>60908</x:v>
      </x:c>
      <x:c r="E11" s="14" t="n">
        <x:f>C11/B11</x:f>
        <x:v>0.5575025790796682</x:v>
      </x:c>
      <x:c r="F11" s="13" t="n">
        <x:v>13.83</x:v>
      </x:c>
      <x:c r="G11" s="13" t="n">
        <x:v>7.12</x:v>
      </x:c>
      <x:c r="H11" s="13" t="n">
        <x:v>6.71</x:v>
      </x:c>
      <x:c r="I11" s="12" t="n">
        <x:v>70522</x:v>
      </x:c>
      <x:c r="J11" s="12" t="n">
        <x:v>67124</x:v>
      </x:c>
    </x:row>
    <x:row r="12" ht="23" customHeight="1">
      <x:c r="A12" s="10" t="n">
        <x:v>2015</x:v>
      </x:c>
      <x:c r="B12" s="12" t="n">
        <x:v>138326</x:v>
      </x:c>
      <x:c r="C12" s="12" t="n">
        <x:v>79302</x:v>
      </x:c>
      <x:c r="D12" s="12" t="n">
        <x:v>59024</x:v>
      </x:c>
      <x:c r="E12" s="14" t="n">
        <x:f>C12/B12</x:f>
        <x:v>0.5732978615733846</x:v>
      </x:c>
      <x:c r="F12" s="13" t="n">
        <x:v>11.99</x:v>
      </x:c>
      <x:c r="G12" s="13" t="n">
        <x:v>7.07</x:v>
      </x:c>
      <x:c r="H12" s="13" t="n">
        <x:v>4.93</x:v>
      </x:c>
      <x:c r="I12" s="12" t="n">
        <x:v>70857</x:v>
      </x:c>
      <x:c r="J12" s="12" t="n">
        <x:v>67469</x:v>
      </x:c>
    </x:row>
    <x:row r="13" ht="23" customHeight="1">
      <x:c r="A13" s="10" t="n">
        <x:v>2016</x:v>
      </x:c>
      <x:c r="B13" s="12" t="n">
        <x:v>139232</x:v>
      </x:c>
      <x:c r="C13" s="12" t="n">
        <x:v>81924</x:v>
      </x:c>
      <x:c r="D13" s="12" t="n">
        <x:v>57308</x:v>
      </x:c>
      <x:c r="E13" s="14" t="n">
        <x:f>C13/B13</x:f>
        <x:v>0.5883992185704435</x:v>
      </x:c>
      <x:c r="F13" s="13" t="n">
        <x:v>13.57</x:v>
      </x:c>
      <x:c r="G13" s="13" t="n">
        <x:v>7.04</x:v>
      </x:c>
      <x:c r="H13" s="13" t="n">
        <x:v>6.53</x:v>
      </x:c>
      <x:c r="I13" s="12" t="n">
        <x:v>71307</x:v>
      </x:c>
      <x:c r="J13" s="12" t="n">
        <x:v>67925</x:v>
      </x:c>
    </x:row>
    <x:row r="14" ht="23" customHeight="1">
      <x:c r="A14" s="10" t="n">
        <x:v>2017</x:v>
      </x:c>
      <x:c r="B14" s="12" t="n">
        <x:v>140011</x:v>
      </x:c>
      <x:c r="C14" s="12" t="n">
        <x:v>84343</x:v>
      </x:c>
      <x:c r="D14" s="12" t="n">
        <x:v>55668</x:v>
      </x:c>
      <x:c r="E14" s="14" t="n">
        <x:f>C14/B14</x:f>
        <x:v>0.6024026683617716</x:v>
      </x:c>
      <x:c r="F14" s="13" t="n">
        <x:v>12.64</x:v>
      </x:c>
      <x:c r="G14" s="13" t="n">
        <x:v>7.06</x:v>
      </x:c>
      <x:c r="H14" s="13" t="n">
        <x:v>5.58</x:v>
      </x:c>
      <x:c r="I14" s="12" t="n">
        <x:v>71650</x:v>
      </x:c>
      <x:c r="J14" s="12" t="n">
        <x:v>68361</x:v>
      </x:c>
    </x:row>
    <x:row r="15" ht="23" customHeight="1">
      <x:c r="A15" s="10" t="n">
        <x:v>2018</x:v>
      </x:c>
      <x:c r="B15" s="12" t="n">
        <x:v>140541</x:v>
      </x:c>
      <x:c r="C15" s="12" t="n">
        <x:v>86433</x:v>
      </x:c>
      <x:c r="D15" s="12" t="n">
        <x:v>54108</x:v>
      </x:c>
      <x:c r="E15" s="14" t="n">
        <x:f>C15/B15</x:f>
        <x:v>0.6150020278779857</x:v>
      </x:c>
      <x:c r="F15" s="13" t="n">
        <x:v>10.86</x:v>
      </x:c>
      <x:c r="G15" s="13" t="n">
        <x:v>7.08</x:v>
      </x:c>
      <x:c r="H15" s="13" t="n">
        <x:v>3.78</x:v>
      </x:c>
      <x:c r="I15" s="12" t="n">
        <x:v>71864</x:v>
      </x:c>
      <x:c r="J15" s="12" t="n">
        <x:v>68677</x:v>
      </x:c>
    </x:row>
    <x:row r="16" ht="23" customHeight="1">
      <x:c r="A16" s="10" t="n">
        <x:v>2019</x:v>
      </x:c>
      <x:c r="B16" s="12" t="n">
        <x:v>141008</x:v>
      </x:c>
      <x:c r="C16" s="12" t="n">
        <x:v>88426</x:v>
      </x:c>
      <x:c r="D16" s="12" t="n">
        <x:v>52582</x:v>
      </x:c>
      <x:c r="E16" s="14" t="n">
        <x:f>C16/B16</x:f>
        <x:v>0.6270991716782026</x:v>
      </x:c>
      <x:c r="F16" s="13" t="n">
        <x:v>10.41</x:v>
      </x:c>
      <x:c r="G16" s="13" t="n">
        <x:v>7.09</x:v>
      </x:c>
      <x:c r="H16" s="13" t="n">
        <x:v>3.32</x:v>
      </x:c>
      <x:c r="I16" s="12" t="n">
        <x:v>72039</x:v>
      </x:c>
      <x:c r="J16" s="12" t="n">
        <x:v>68969</x:v>
      </x:c>
    </x:row>
    <x:row r="17" ht="23" customHeight="1">
      <x:c r="A17" s="10" t="n">
        <x:v>2020</x:v>
      </x:c>
      <x:c r="B17" s="12" t="n">
        <x:v>141212</x:v>
      </x:c>
      <x:c r="C17" s="12" t="n">
        <x:v>90220</x:v>
      </x:c>
      <x:c r="D17" s="12" t="n">
        <x:v>50992</x:v>
      </x:c>
      <x:c r="E17" s="14" t="n">
        <x:f>C17/B17</x:f>
        <x:v>0.6388975441180637</x:v>
      </x:c>
      <x:c r="F17" s="13" t="n">
        <x:v>8.52</x:v>
      </x:c>
      <x:c r="G17" s="13" t="n">
        <x:v>7.07</x:v>
      </x:c>
      <x:c r="H17" s="13" t="n">
        <x:v>1.45</x:v>
      </x:c>
      <x:c r="I17" s="12" t="n">
        <x:v>72357</x:v>
      </x:c>
      <x:c r="J17" s="12" t="n">
        <x:v>68855</x:v>
      </x:c>
    </x:row>
    <x:row r="18" ht="23" customHeight="1">
      <x:c r="A18" s="10" t="n">
        <x:v>2021</x:v>
      </x:c>
      <x:c r="B18" s="12" t="n">
        <x:v>141260</x:v>
      </x:c>
      <x:c r="C18" s="12" t="n">
        <x:v>91425</x:v>
      </x:c>
      <x:c r="D18" s="12" t="n">
        <x:v>49835</x:v>
      </x:c>
      <x:c r="E18" s="14" t="n">
        <x:f>C18/B18</x:f>
        <x:v>0.6472108169333145</x:v>
      </x:c>
      <x:c r="F18" s="13" t="n">
        <x:v>7.52</x:v>
      </x:c>
      <x:c r="G18" s="13" t="n">
        <x:v>7.18</x:v>
      </x:c>
      <x:c r="H18" s="13" t="n">
        <x:v>0.34</x:v>
      </x:c>
      <x:c r="I18" s="12" t="n">
        <x:v>72311</x:v>
      </x:c>
      <x:c r="J18" s="12" t="n">
        <x:v>68949</x:v>
      </x:c>
    </x:row>
    <x:row r="19" ht="23" customHeight="1">
      <x:c r="A19" s="10" t="n">
        <x:v>2022</x:v>
      </x:c>
      <x:c r="B19" s="12" t="n">
        <x:v>141175</x:v>
      </x:c>
      <x:c r="C19" s="12" t="n">
        <x:v>92071</x:v>
      </x:c>
      <x:c r="D19" s="12" t="n">
        <x:v>49104</x:v>
      </x:c>
      <x:c r="E19" s="14" t="n">
        <x:f>C19/B19</x:f>
        <x:v>0.6521763768372587</x:v>
      </x:c>
      <x:c r="F19" s="13" t="n">
        <x:v>6.77</x:v>
      </x:c>
      <x:c r="G19" s="13" t="n">
        <x:v>7.37</x:v>
      </x:c>
      <x:c r="H19" s="13" t="n">
        <x:v>-0.6</x:v>
      </x:c>
      <x:c r="I19" s="12" t="n">
        <x:v>72206</x:v>
      </x:c>
      <x:c r="J19" s="12" t="n">
        <x:v>68969</x:v>
      </x:c>
    </x:row>
    <x:row r="20" ht="23" customHeight="1">
      <x:c r="A20" s="10" t="n">
        <x:v>2023</x:v>
      </x:c>
      <x:c r="B20" s="12" t="n">
        <x:v>140967</x:v>
      </x:c>
      <x:c r="C20" s="12" t="n">
        <x:v>93267</x:v>
      </x:c>
      <x:c r="D20" s="12" t="n">
        <x:v>47700</x:v>
      </x:c>
      <x:c r="E20" s="14" t="n">
        <x:f>C20/B20</x:f>
        <x:v>0.6616229330268786</x:v>
      </x:c>
      <x:c r="F20" s="13" t="n">
        <x:v>6.39</x:v>
      </x:c>
      <x:c r="G20" s="13" t="n">
        <x:v>7.87</x:v>
      </x:c>
      <x:c r="H20" s="13" t="n">
        <x:v>-1.48</x:v>
      </x:c>
      <x:c r="I20" s="12" t="n">
        <x:v>72032</x:v>
      </x:c>
      <x:c r="J20" s="12" t="n">
        <x:v>68935</x:v>
      </x:c>
    </x:row>
    <x:row r="21" ht="23" customHeight="1">
      <x:c r="A21" s="10" t="n">
        <x:v>2024</x:v>
      </x:c>
      <x:c r="B21" s="12" t="n">
        <x:v>140828</x:v>
      </x:c>
      <x:c r="C21" s="12" t="n">
        <x:v>94350</x:v>
      </x:c>
      <x:c r="D21" s="12" t="n">
        <x:v>46478</x:v>
      </x:c>
      <x:c r="E21" s="14" t="n">
        <x:f>C21/B21</x:f>
        <x:v>0.6699661999034283</x:v>
      </x:c>
      <x:c r="F21" s="13" t="n">
        <x:v>6.77</x:v>
      </x:c>
      <x:c r="G21" s="13" t="n">
        <x:v>7.76</x:v>
      </x:c>
      <x:c r="H21" s="13" t="n">
        <x:v>-0.99</x:v>
      </x:c>
      <x:c r="I21" s="12" t="n">
        <x:v>71909</x:v>
      </x:c>
      <x:c r="J21" s="12" t="n">
        <x:v>68919</x:v>
      </x:c>
    </x:row>
    <x:row r="22" ht="23" customHeight="1">
      <x:c r="A22" s="10" t="n">
        <x:v>2025</x:v>
      </x:c>
      <x:c r="B22" s="12" t="n">
        <x:v>140489</x:v>
      </x:c>
      <x:c r="C22" s="12" t="n">
        <x:v>95380</x:v>
      </x:c>
      <x:c r="D22" s="12" t="n">
        <x:v>45109</x:v>
      </x:c>
      <x:c r="E22" s="14" t="n">
        <x:f>C22/B22</x:f>
        <x:v>0.6789143634021169</x:v>
      </x:c>
      <x:c r="F22" s="13" t="n">
        <x:v>5.63</x:v>
      </x:c>
      <x:c r="G22" s="13" t="n">
        <x:v>8.04</x:v>
      </x:c>
      <x:c r="H22" s="13" t="n">
        <x:v>-2.41</x:v>
      </x:c>
      <x:c r="I22" s="12" t="n">
        <x:v>71685</x:v>
      </x:c>
      <x:c r="J22" s="12" t="n">
        <x:v>68804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22" hidden="0" customWidth="1"/>
  </x:cols>
  <x:sheetData>
    <x:row r="1" ht="23" customHeight="1">
      <x:c r="A1" s="3" t="str">
        <x:v>年龄结构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来源：国家统计局人口年龄结构表；2018 年分组合计少 1 万人，保留原值，占比不强制归一。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8" t="str">
        <x:v>年份</x:v>
      </x:c>
      <x:c r="B4" s="8" t="str">
        <x:v>年末总人口
万人</x:v>
      </x:c>
      <x:c r="C4" s="8" t="str">
        <x:v>0—14 岁
万人</x:v>
      </x:c>
      <x:c r="D4" s="8" t="str">
        <x:v>15—64 岁
万人</x:v>
      </x:c>
      <x:c r="E4" s="8" t="str">
        <x:v>65 岁及以上
万人</x:v>
      </x:c>
      <x:c r="F4" s="8" t="str">
        <x:v>0—14 岁占比</x:v>
      </x:c>
      <x:c r="G4" s="8" t="str">
        <x:v>15—64 岁占比</x:v>
      </x:c>
      <x:c r="H4" s="8" t="str">
        <x:v>65 岁及以上占比</x:v>
      </x:c>
      <x:c r="I4" s="8" t="str">
        <x:v>分组合计差额
万人</x:v>
      </x:c>
    </x:row>
    <x:row r="5" ht="23" customHeight="1">
      <x:c r="A5" s="10" t="n">
        <x:v>2008</x:v>
      </x:c>
      <x:c r="B5" s="12" t="n">
        <x:v>132802</x:v>
      </x:c>
      <x:c r="C5" s="12" t="n">
        <x:v>25166</x:v>
      </x:c>
      <x:c r="D5" s="12" t="n">
        <x:v>96680</x:v>
      </x:c>
      <x:c r="E5" s="12" t="n">
        <x:v>10956</x:v>
      </x:c>
      <x:c r="F5" s="14" t="n">
        <x:f>C5/B5</x:f>
        <x:v>0.18950015813014864</x:v>
      </x:c>
      <x:c r="G5" s="14" t="n">
        <x:f>D5/B5</x:f>
        <x:v>0.7280010843210193</x:v>
      </x:c>
      <x:c r="H5" s="14" t="n">
        <x:f>E5/B5</x:f>
        <x:v>0.0824987575488321</x:v>
      </x:c>
      <x:c r="I5" s="12" t="n">
        <x:f>SUM(C5:E5)-B5</x:f>
        <x:v>0</x:v>
      </x:c>
    </x:row>
    <x:row r="6" ht="23" customHeight="1">
      <x:c r="A6" s="10" t="n">
        <x:v>2009</x:v>
      </x:c>
      <x:c r="B6" s="12" t="n">
        <x:v>133450</x:v>
      </x:c>
      <x:c r="C6" s="12" t="n">
        <x:v>24659</x:v>
      </x:c>
      <x:c r="D6" s="12" t="n">
        <x:v>97484</x:v>
      </x:c>
      <x:c r="E6" s="12" t="n">
        <x:v>11307</x:v>
      </x:c>
      <x:c r="F6" s="14" t="n">
        <x:f>C6/B6</x:f>
        <x:v>0.18478081678531286</x:v>
      </x:c>
      <x:c r="G6" s="14" t="n">
        <x:f>D6/B6</x:f>
        <x:v>0.7304908205320345</x:v>
      </x:c>
      <x:c r="H6" s="14" t="n">
        <x:f>E6/B6</x:f>
        <x:v>0.08472836268265267</x:v>
      </x:c>
      <x:c r="I6" s="12" t="n">
        <x:f>SUM(C6:E6)-B6</x:f>
        <x:v>0</x:v>
      </x:c>
    </x:row>
    <x:row r="7" ht="23" customHeight="1">
      <x:c r="A7" s="10" t="n">
        <x:v>2010</x:v>
      </x:c>
      <x:c r="B7" s="12" t="n">
        <x:v>134091</x:v>
      </x:c>
      <x:c r="C7" s="12" t="n">
        <x:v>22259</x:v>
      </x:c>
      <x:c r="D7" s="12" t="n">
        <x:v>99938</x:v>
      </x:c>
      <x:c r="E7" s="12" t="n">
        <x:v>11894</x:v>
      </x:c>
      <x:c r="F7" s="14" t="n">
        <x:f>C7/B7</x:f>
        <x:v>0.16599920949206137</x:v>
      </x:c>
      <x:c r="G7" s="14" t="n">
        <x:f>D7/B7</x:f>
        <x:v>0.7452998336950281</x:v>
      </x:c>
      <x:c r="H7" s="14" t="n">
        <x:f>E7/B7</x:f>
        <x:v>0.08870095681291064</x:v>
      </x:c>
      <x:c r="I7" s="12" t="n">
        <x:f>SUM(C7:E7)-B7</x:f>
        <x:v>0</x:v>
      </x:c>
    </x:row>
    <x:row r="8" ht="23" customHeight="1">
      <x:c r="A8" s="10" t="n">
        <x:v>2011</x:v>
      </x:c>
      <x:c r="B8" s="12" t="n">
        <x:v>134916</x:v>
      </x:c>
      <x:c r="C8" s="12" t="n">
        <x:v>22261</x:v>
      </x:c>
      <x:c r="D8" s="12" t="n">
        <x:v>100378</x:v>
      </x:c>
      <x:c r="E8" s="12" t="n">
        <x:v>12277</x:v>
      </x:c>
      <x:c r="F8" s="14" t="n">
        <x:f>C8/B8</x:f>
        <x:v>0.16499896231729372</x:v>
      </x:c>
      <x:c r="G8" s="14" t="n">
        <x:f>D8/B8</x:f>
        <x:v>0.7440036763615879</x:v>
      </x:c>
      <x:c r="H8" s="14" t="n">
        <x:f>E8/B8</x:f>
        <x:v>0.09099736132111833</x:v>
      </x:c>
      <x:c r="I8" s="12" t="n">
        <x:f>SUM(C8:E8)-B8</x:f>
        <x:v>0</x:v>
      </x:c>
    </x:row>
    <x:row r="9" ht="23" customHeight="1">
      <x:c r="A9" s="10" t="n">
        <x:v>2012</x:v>
      </x:c>
      <x:c r="B9" s="12" t="n">
        <x:v>135922</x:v>
      </x:c>
      <x:c r="C9" s="12" t="n">
        <x:v>22427</x:v>
      </x:c>
      <x:c r="D9" s="12" t="n">
        <x:v>100718</x:v>
      </x:c>
      <x:c r="E9" s="12" t="n">
        <x:v>12777</x:v>
      </x:c>
      <x:c r="F9" s="14" t="n">
        <x:f>C9/B9</x:f>
        <x:v>0.1649990435691058</x:v>
      </x:c>
      <x:c r="G9" s="14" t="n">
        <x:f>D9/B9</x:f>
        <x:v>0.7409985138535337</x:v>
      </x:c>
      <x:c r="H9" s="14" t="n">
        <x:f>E9/B9</x:f>
        <x:v>0.09400244257736054</x:v>
      </x:c>
      <x:c r="I9" s="12" t="n">
        <x:f>SUM(C9:E9)-B9</x:f>
        <x:v>0</x:v>
      </x:c>
    </x:row>
    <x:row r="10" ht="23" customHeight="1">
      <x:c r="A10" s="10" t="n">
        <x:v>2013</x:v>
      </x:c>
      <x:c r="B10" s="12" t="n">
        <x:v>136726</x:v>
      </x:c>
      <x:c r="C10" s="12" t="n">
        <x:v>22423</x:v>
      </x:c>
      <x:c r="D10" s="12" t="n">
        <x:v>101041</x:v>
      </x:c>
      <x:c r="E10" s="12" t="n">
        <x:v>13262</x:v>
      </x:c>
      <x:c r="F10" s="14" t="n">
        <x:f>C10/B10</x:f>
        <x:v>0.1639995319105364</x:v>
      </x:c>
      <x:c r="G10" s="14" t="n">
        <x:f>D10/B10</x:f>
        <x:v>0.7390035545543642</x:v>
      </x:c>
      <x:c r="H10" s="14" t="n">
        <x:f>E10/B10</x:f>
        <x:v>0.0969969135350994</x:v>
      </x:c>
      <x:c r="I10" s="12" t="n">
        <x:f>SUM(C10:E10)-B10</x:f>
        <x:v>0</x:v>
      </x:c>
    </x:row>
    <x:row r="11" ht="23" customHeight="1">
      <x:c r="A11" s="10" t="n">
        <x:v>2014</x:v>
      </x:c>
      <x:c r="B11" s="12" t="n">
        <x:v>137646</x:v>
      </x:c>
      <x:c r="C11" s="12" t="n">
        <x:v>22712</x:v>
      </x:c>
      <x:c r="D11" s="12" t="n">
        <x:v>101032</x:v>
      </x:c>
      <x:c r="E11" s="12" t="n">
        <x:v>13902</x:v>
      </x:c>
      <x:c r="F11" s="14" t="n">
        <x:f>C11/B11</x:f>
        <x:v>0.16500297865539137</x:v>
      </x:c>
      <x:c r="G11" s="14" t="n">
        <x:f>D11/B11</x:f>
        <x:v>0.7339988085378435</x:v>
      </x:c>
      <x:c r="H11" s="14" t="n">
        <x:f>E11/B11</x:f>
        <x:v>0.10099821280676519</x:v>
      </x:c>
      <x:c r="I11" s="12" t="n">
        <x:f>SUM(C11:E11)-B11</x:f>
        <x:v>0</x:v>
      </x:c>
    </x:row>
    <x:row r="12" ht="23" customHeight="1">
      <x:c r="A12" s="10" t="n">
        <x:v>2015</x:v>
      </x:c>
      <x:c r="B12" s="12" t="n">
        <x:v>138326</x:v>
      </x:c>
      <x:c r="C12" s="12" t="n">
        <x:v>22824</x:v>
      </x:c>
      <x:c r="D12" s="12" t="n">
        <x:v>100978</x:v>
      </x:c>
      <x:c r="E12" s="12" t="n">
        <x:v>14524</x:v>
      </x:c>
      <x:c r="F12" s="14" t="n">
        <x:f>C12/B12</x:f>
        <x:v>0.16500151815276953</x:v>
      </x:c>
      <x:c r="G12" s="14" t="n">
        <x:f>D12/B12</x:f>
        <x:v>0.7300001445859781</x:v>
      </x:c>
      <x:c r="H12" s="14" t="n">
        <x:f>E12/B12</x:f>
        <x:v>0.1049983372612524</x:v>
      </x:c>
      <x:c r="I12" s="12" t="n">
        <x:f>SUM(C12:E12)-B12</x:f>
        <x:v>0</x:v>
      </x:c>
    </x:row>
    <x:row r="13" ht="23" customHeight="1">
      <x:c r="A13" s="10" t="n">
        <x:v>2016</x:v>
      </x:c>
      <x:c r="B13" s="12" t="n">
        <x:v>139232</x:v>
      </x:c>
      <x:c r="C13" s="12" t="n">
        <x:v>23252</x:v>
      </x:c>
      <x:c r="D13" s="12" t="n">
        <x:v>100943</x:v>
      </x:c>
      <x:c r="E13" s="12" t="n">
        <x:v>15037</x:v>
      </x:c>
      <x:c r="F13" s="14" t="n">
        <x:f>C13/B13</x:f>
        <x:v>0.16700183865777982</x:v>
      </x:c>
      <x:c r="G13" s="14" t="n">
        <x:f>D13/B13</x:f>
        <x:v>0.7249985635486095</x:v>
      </x:c>
      <x:c r="H13" s="14" t="n">
        <x:f>E13/B13</x:f>
        <x:v>0.10799959779361067</x:v>
      </x:c>
      <x:c r="I13" s="12" t="n">
        <x:f>SUM(C13:E13)-B13</x:f>
        <x:v>0</x:v>
      </x:c>
    </x:row>
    <x:row r="14" ht="23" customHeight="1">
      <x:c r="A14" s="10" t="n">
        <x:v>2017</x:v>
      </x:c>
      <x:c r="B14" s="12" t="n">
        <x:v>140011</x:v>
      </x:c>
      <x:c r="C14" s="12" t="n">
        <x:v>23522</x:v>
      </x:c>
      <x:c r="D14" s="12" t="n">
        <x:v>100528</x:v>
      </x:c>
      <x:c r="E14" s="12" t="n">
        <x:v>15961</x:v>
      </x:c>
      <x:c r="F14" s="14" t="n">
        <x:f>C14/B14</x:f>
        <x:v>0.1680010856289863</x:v>
      </x:c>
      <x:c r="G14" s="14" t="n">
        <x:f>D14/B14</x:f>
        <x:v>0.7180007285141882</x:v>
      </x:c>
      <x:c r="H14" s="14" t="n">
        <x:f>E14/B14</x:f>
        <x:v>0.11399818585682553</x:v>
      </x:c>
      <x:c r="I14" s="12" t="n">
        <x:f>SUM(C14:E14)-B14</x:f>
        <x:v>0</x:v>
      </x:c>
    </x:row>
    <x:row r="15" ht="23" customHeight="1">
      <x:c r="A15" s="10" t="n">
        <x:v>2018</x:v>
      </x:c>
      <x:c r="B15" s="12" t="n">
        <x:v>140541</x:v>
      </x:c>
      <x:c r="C15" s="12" t="n">
        <x:v>23751</x:v>
      </x:c>
      <x:c r="D15" s="12" t="n">
        <x:v>100065</x:v>
      </x:c>
      <x:c r="E15" s="12" t="n">
        <x:v>16724</x:v>
      </x:c>
      <x:c r="F15" s="14" t="n">
        <x:f>C15/B15</x:f>
        <x:v>0.1689969475099793</x:v>
      </x:c>
      <x:c r="G15" s="14" t="n">
        <x:f>D15/B15</x:f>
        <x:v>0.7119986338506201</x:v>
      </x:c>
      <x:c r="H15" s="14" t="n">
        <x:f>E15/B15</x:f>
        <x:v>0.11899730327804697</x:v>
      </x:c>
      <x:c r="I15" s="12" t="n">
        <x:f>SUM(C15:E15)-B15</x:f>
        <x:v>-1</x:v>
      </x:c>
    </x:row>
    <x:row r="16" ht="23" customHeight="1">
      <x:c r="A16" s="10" t="n">
        <x:v>2019</x:v>
      </x:c>
      <x:c r="B16" s="12" t="n">
        <x:v>141008</x:v>
      </x:c>
      <x:c r="C16" s="12" t="n">
        <x:v>23689</x:v>
      </x:c>
      <x:c r="D16" s="12" t="n">
        <x:v>99552</x:v>
      </x:c>
      <x:c r="E16" s="12" t="n">
        <x:v>17767</x:v>
      </x:c>
      <x:c r="F16" s="14" t="n">
        <x:f>C16/B16</x:f>
        <x:v>0.1679975604221037</x:v>
      </x:c>
      <x:c r="G16" s="14" t="n">
        <x:f>D16/B16</x:f>
        <x:v>0.706002496312266</x:v>
      </x:c>
      <x:c r="H16" s="14" t="n">
        <x:f>E16/B16</x:f>
        <x:v>0.12599994326563033</x:v>
      </x:c>
      <x:c r="I16" s="12" t="n">
        <x:f>SUM(C16:E16)-B16</x:f>
        <x:v>0</x:v>
      </x:c>
    </x:row>
    <x:row r="17" ht="23" customHeight="1">
      <x:c r="A17" s="10" t="n">
        <x:v>2020</x:v>
      </x:c>
      <x:c r="B17" s="12" t="n">
        <x:v>141212</x:v>
      </x:c>
      <x:c r="C17" s="12" t="n">
        <x:v>25277</x:v>
      </x:c>
      <x:c r="D17" s="12" t="n">
        <x:v>96871</x:v>
      </x:c>
      <x:c r="E17" s="12" t="n">
        <x:v>19064</x:v>
      </x:c>
      <x:c r="F17" s="14" t="n">
        <x:f>C17/B17</x:f>
        <x:v>0.17900036824065943</x:v>
      </x:c>
      <x:c r="G17" s="14" t="n">
        <x:f>D17/B17</x:f>
        <x:v>0.6859969407699062</x:v>
      </x:c>
      <x:c r="H17" s="14" t="n">
        <x:f>E17/B17</x:f>
        <x:v>0.13500269098943432</x:v>
      </x:c>
      <x:c r="I17" s="12" t="n">
        <x:f>SUM(C17:E17)-B17</x:f>
        <x:v>0</x:v>
      </x:c>
    </x:row>
    <x:row r="18" ht="23" customHeight="1">
      <x:c r="A18" s="10" t="n">
        <x:v>2021</x:v>
      </x:c>
      <x:c r="B18" s="12" t="n">
        <x:v>141260</x:v>
      </x:c>
      <x:c r="C18" s="12" t="n">
        <x:v>24678</x:v>
      </x:c>
      <x:c r="D18" s="12" t="n">
        <x:v>96526</x:v>
      </x:c>
      <x:c r="E18" s="12" t="n">
        <x:v>20056</x:v>
      </x:c>
      <x:c r="F18" s="14" t="n">
        <x:f>C18/B18</x:f>
        <x:v>0.1746991363443296</x:v>
      </x:c>
      <x:c r="G18" s="14" t="n">
        <x:f>D18/B18</x:f>
        <x:v>0.6833215347586011</x:v>
      </x:c>
      <x:c r="H18" s="14" t="n">
        <x:f>E18/B18</x:f>
        <x:v>0.14197932889706924</x:v>
      </x:c>
      <x:c r="I18" s="12" t="n">
        <x:f>SUM(C18:E18)-B18</x:f>
        <x:v>0</x:v>
      </x:c>
    </x:row>
    <x:row r="19" ht="23" customHeight="1">
      <x:c r="A19" s="10" t="n">
        <x:v>2022</x:v>
      </x:c>
      <x:c r="B19" s="12" t="n">
        <x:v>141175</x:v>
      </x:c>
      <x:c r="C19" s="12" t="n">
        <x:v>23908</x:v>
      </x:c>
      <x:c r="D19" s="12" t="n">
        <x:v>96289</x:v>
      </x:c>
      <x:c r="E19" s="12" t="n">
        <x:v>20978</x:v>
      </x:c>
      <x:c r="F19" s="14" t="n">
        <x:f>C19/B19</x:f>
        <x:v>0.1693500973968479</x:v>
      </x:c>
      <x:c r="G19" s="14" t="n">
        <x:f>D19/B19</x:f>
        <x:v>0.682054188064459</x:v>
      </x:c>
      <x:c r="H19" s="14" t="n">
        <x:f>E19/B19</x:f>
        <x:v>0.1485957145386931</x:v>
      </x:c>
      <x:c r="I19" s="12" t="n">
        <x:f>SUM(C19:E19)-B19</x:f>
        <x:v>0</x:v>
      </x:c>
    </x:row>
    <x:row r="20" ht="23" customHeight="1">
      <x:c r="A20" s="10" t="n">
        <x:v>2023</x:v>
      </x:c>
      <x:c r="B20" s="12" t="n">
        <x:v>140967</x:v>
      </x:c>
      <x:c r="C20" s="12" t="n">
        <x:v>23063</x:v>
      </x:c>
      <x:c r="D20" s="12" t="n">
        <x:v>96228</x:v>
      </x:c>
      <x:c r="E20" s="12" t="n">
        <x:v>21676</x:v>
      </x:c>
      <x:c r="F20" s="14" t="n">
        <x:f>C20/B20</x:f>
        <x:v>0.1636056665744465</x:v>
      </x:c>
      <x:c r="G20" s="14" t="n">
        <x:f>D20/B20</x:f>
        <x:v>0.6826278490710592</x:v>
      </x:c>
      <x:c r="H20" s="14" t="n">
        <x:f>E20/B20</x:f>
        <x:v>0.1537664843544943</x:v>
      </x:c>
      <x:c r="I20" s="12" t="n">
        <x:f>SUM(C20:E20)-B20</x:f>
        <x:v>0</x:v>
      </x:c>
    </x:row>
    <x:row r="21" ht="23" customHeight="1">
      <x:c r="A21" s="10" t="n">
        <x:v>2024</x:v>
      </x:c>
      <x:c r="B21" s="12" t="n">
        <x:v>140828</x:v>
      </x:c>
      <x:c r="C21" s="12" t="n">
        <x:v>22240</x:v>
      </x:c>
      <x:c r="D21" s="12" t="n">
        <x:v>96565</x:v>
      </x:c>
      <x:c r="E21" s="12" t="n">
        <x:v>22023</x:v>
      </x:c>
      <x:c r="F21" s="14" t="n">
        <x:f>C21/B21</x:f>
        <x:v>0.1579231402846025</x:v>
      </x:c>
      <x:c r="G21" s="14" t="n">
        <x:f>D21/B21</x:f>
        <x:v>0.6856946061862698</x:v>
      </x:c>
      <x:c r="H21" s="14" t="n">
        <x:f>E21/B21</x:f>
        <x:v>0.15638225352912774</x:v>
      </x:c>
      <x:c r="I21" s="12" t="n">
        <x:f>SUM(C21:E21)-B21</x:f>
        <x:v>0</x:v>
      </x:c>
    </x:row>
    <x:row r="22" ht="23" customHeight="1">
      <x:c r="A22" s="10" t="n">
        <x:v>2025</x:v>
      </x:c>
      <x:c r="B22" s="12" t="n">
        <x:v>140489</x:v>
      </x:c>
      <x:c r="C22" s="12" t="n">
        <x:v>21276</x:v>
      </x:c>
      <x:c r="D22" s="12" t="n">
        <x:v>96848</x:v>
      </x:c>
      <x:c r="E22" s="12" t="n">
        <x:v>22365</x:v>
      </x:c>
      <x:c r="F22" s="14" t="n">
        <x:f>C22/B22</x:f>
        <x:v>0.1514424616873919</x:v>
      </x:c>
      <x:c r="G22" s="14" t="n">
        <x:f>D22/B22</x:f>
        <x:v>0.6893635800667668</x:v>
      </x:c>
      <x:c r="H22" s="14" t="n">
        <x:f>E22/B22</x:f>
        <x:v>0.15919395824584132</x:v>
      </x:c>
      <x:c r="I22" s="12" t="n">
        <x:f>SUM(C22:E22)-B22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24" hidden="0" customWidth="1"/>
    <x:col min="4" max="4" width="26" hidden="0" customWidth="1"/>
    <x:col min="5" max="5" width="28" hidden="0" customWidth="1"/>
    <x:col min="6" max="6" width="28" hidden="0" customWidth="1"/>
  </x:cols>
  <x:sheetData>
    <x:row r="1" ht="23" customHeight="1">
      <x:c r="A1" s="3" t="str">
        <x:v>能源年度</x:v>
      </x:c>
      <x:c r="B1" s="2"/>
      <x:c r="C1" s="2"/>
      <x:c r="D1" s="2"/>
      <x:c r="E1" s="2"/>
      <x:c r="F1" s="2"/>
    </x:row>
    <x:row r="2" ht="23" customHeight="1">
      <x:c r="A2" s="4" t="str">
        <x:v>来源：国家统计局能源表；2024、2025 年人均生活用能为空。序列计算值不等同官方可比增速。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34" customHeight="1">
      <x:c r="A4" s="8" t="str">
        <x:v>年份</x:v>
      </x:c>
      <x:c r="B4" s="8" t="str">
        <x:v>能源消费总量
万吨标准煤</x:v>
      </x:c>
      <x:c r="C4" s="8" t="str">
        <x:v>较上年变化
序列计算值</x:v>
      </x:c>
      <x:c r="D4" s="8" t="str">
        <x:v>官方可比增速
本次未取得</x:v>
      </x:c>
      <x:c r="E4" s="8" t="str">
        <x:v>人均生活能源
千克标准煤/人</x:v>
      </x:c>
      <x:c r="F4" s="8" t="str">
        <x:v>人均生活用电
千瓦小时/人</x:v>
      </x:c>
    </x:row>
    <x:row r="5" ht="23" customHeight="1">
      <x:c r="A5" s="10" t="n">
        <x:v>2008</x:v>
      </x:c>
      <x:c r="B5" s="12" t="n">
        <x:v>320611</x:v>
      </x:c>
      <x:c r="C5" s="14"/>
      <x:c r="D5" s="14"/>
      <x:c r="E5" s="12" t="n">
        <x:v>254</x:v>
      </x:c>
      <x:c r="F5" s="12" t="n">
        <x:v>332</x:v>
      </x:c>
    </x:row>
    <x:row r="6" ht="23" customHeight="1">
      <x:c r="A6" s="10" t="n">
        <x:v>2009</x:v>
      </x:c>
      <x:c r="B6" s="12" t="n">
        <x:v>336126</x:v>
      </x:c>
      <x:c r="C6" s="14" t="n">
        <x:f>B6/B5-1</x:f>
        <x:v>0.04839197656973715</x:v>
      </x:c>
      <x:c r="D6" s="14"/>
      <x:c r="E6" s="12" t="n">
        <x:v>264</x:v>
      </x:c>
      <x:c r="F6" s="12" t="n">
        <x:v>366</x:v>
      </x:c>
    </x:row>
    <x:row r="7" ht="23" customHeight="1">
      <x:c r="A7" s="10" t="n">
        <x:v>2010</x:v>
      </x:c>
      <x:c r="B7" s="12" t="n">
        <x:v>360648</x:v>
      </x:c>
      <x:c r="C7" s="14" t="n">
        <x:f>B7/B6-1</x:f>
        <x:v>0.07295478481283801</x:v>
      </x:c>
      <x:c r="D7" s="14"/>
      <x:c r="E7" s="12" t="n">
        <x:v>273</x:v>
      </x:c>
      <x:c r="F7" s="12" t="n">
        <x:v>383</x:v>
      </x:c>
    </x:row>
    <x:row r="8" ht="23" customHeight="1">
      <x:c r="A8" s="10" t="n">
        <x:v>2011</x:v>
      </x:c>
      <x:c r="B8" s="12" t="n">
        <x:v>387043</x:v>
      </x:c>
      <x:c r="C8" s="14" t="n">
        <x:f>B8/B7-1</x:f>
        <x:v>0.07318770657261364</x:v>
      </x:c>
      <x:c r="D8" s="14"/>
      <x:c r="E8" s="12" t="n">
        <x:v>294</x:v>
      </x:c>
      <x:c r="F8" s="12" t="n">
        <x:v>418</x:v>
      </x:c>
    </x:row>
    <x:row r="9" ht="23" customHeight="1">
      <x:c r="A9" s="10" t="n">
        <x:v>2012</x:v>
      </x:c>
      <x:c r="B9" s="12" t="n">
        <x:v>402138</x:v>
      </x:c>
      <x:c r="C9" s="14" t="n">
        <x:f>B9/B8-1</x:f>
        <x:v>0.03900083453259717</x:v>
      </x:c>
      <x:c r="D9" s="14"/>
      <x:c r="E9" s="12" t="n">
        <x:v>312</x:v>
      </x:c>
      <x:c r="F9" s="12" t="n">
        <x:v>459</x:v>
      </x:c>
    </x:row>
    <x:row r="10" ht="23" customHeight="1">
      <x:c r="A10" s="10" t="n">
        <x:v>2013</x:v>
      </x:c>
      <x:c r="B10" s="12" t="n">
        <x:v>416913</x:v>
      </x:c>
      <x:c r="C10" s="14" t="n">
        <x:f>B10/B9-1</x:f>
        <x:v>0.03674111872043917</x:v>
      </x:c>
      <x:c r="D10" s="14"/>
      <x:c r="E10" s="12" t="n">
        <x:v>334</x:v>
      </x:c>
      <x:c r="F10" s="12" t="n">
        <x:v>513</x:v>
      </x:c>
    </x:row>
    <x:row r="11" ht="23" customHeight="1">
      <x:c r="A11" s="10" t="n">
        <x:v>2014</x:v>
      </x:c>
      <x:c r="B11" s="12" t="n">
        <x:v>428334</x:v>
      </x:c>
      <x:c r="C11" s="14" t="n">
        <x:f>B11/B10-1</x:f>
        <x:v>0.027394204546272283</x:v>
      </x:c>
      <x:c r="D11" s="14"/>
      <x:c r="E11" s="12" t="n">
        <x:v>344</x:v>
      </x:c>
      <x:c r="F11" s="12" t="n">
        <x:v>523</x:v>
      </x:c>
    </x:row>
    <x:row r="12" ht="23" customHeight="1">
      <x:c r="A12" s="10" t="n">
        <x:v>2015</x:v>
      </x:c>
      <x:c r="B12" s="12" t="n">
        <x:v>434113</x:v>
      </x:c>
      <x:c r="C12" s="14" t="n">
        <x:f>B12/B11-1</x:f>
        <x:v>0.013491807794851596</x:v>
      </x:c>
      <x:c r="D12" s="14"/>
      <x:c r="E12" s="12" t="n">
        <x:v>366</x:v>
      </x:c>
      <x:c r="F12" s="12" t="n">
        <x:v>548</x:v>
      </x:c>
    </x:row>
    <x:row r="13" ht="23" customHeight="1">
      <x:c r="A13" s="10" t="n">
        <x:v>2016</x:v>
      </x:c>
      <x:c r="B13" s="12" t="n">
        <x:v>441492</x:v>
      </x:c>
      <x:c r="C13" s="14" t="n">
        <x:f>B13/B12-1</x:f>
        <x:v>0.016997878432573943</x:v>
      </x:c>
      <x:c r="D13" s="14"/>
      <x:c r="E13" s="12" t="n">
        <x:v>392</x:v>
      </x:c>
      <x:c r="F13" s="12" t="n">
        <x:v>607</x:v>
      </x:c>
    </x:row>
    <x:row r="14" ht="23" customHeight="1">
      <x:c r="A14" s="10" t="n">
        <x:v>2017</x:v>
      </x:c>
      <x:c r="B14" s="12" t="n">
        <x:v>455827</x:v>
      </x:c>
      <x:c r="C14" s="14" t="n">
        <x:f>B14/B13-1</x:f>
        <x:v>0.032469444519946045</x:v>
      </x:c>
      <x:c r="D14" s="14"/>
      <x:c r="E14" s="12" t="n">
        <x:v>412</x:v>
      </x:c>
      <x:c r="F14" s="12" t="n">
        <x:v>650</x:v>
      </x:c>
    </x:row>
    <x:row r="15" ht="23" customHeight="1">
      <x:c r="A15" s="10" t="n">
        <x:v>2018</x:v>
      </x:c>
      <x:c r="B15" s="12" t="n">
        <x:v>471925</x:v>
      </x:c>
      <x:c r="C15" s="14" t="n">
        <x:f>B15/B14-1</x:f>
        <x:v>0.035316029985060116</x:v>
      </x:c>
      <x:c r="D15" s="14"/>
      <x:c r="E15" s="12" t="n">
        <x:v>431</x:v>
      </x:c>
      <x:c r="F15" s="12" t="n">
        <x:v>717</x:v>
      </x:c>
    </x:row>
    <x:row r="16" ht="23" customHeight="1">
      <x:c r="A16" s="10" t="n">
        <x:v>2019</x:v>
      </x:c>
      <x:c r="B16" s="12" t="n">
        <x:v>485584</x:v>
      </x:c>
      <x:c r="C16" s="14" t="n">
        <x:f>B16/B15-1</x:f>
        <x:v>0.02894315834083816</x:v>
      </x:c>
      <x:c r="D16" s="14"/>
      <x:c r="E16" s="12" t="n">
        <x:v>439</x:v>
      </x:c>
      <x:c r="F16" s="12" t="n">
        <x:v>756</x:v>
      </x:c>
    </x:row>
    <x:row r="17" ht="23" customHeight="1">
      <x:c r="A17" s="10" t="n">
        <x:v>2020</x:v>
      </x:c>
      <x:c r="B17" s="12" t="n">
        <x:v>496514</x:v>
      </x:c>
      <x:c r="C17" s="14" t="n">
        <x:f>B17/B16-1</x:f>
        <x:v>0.022508978879040464</x:v>
      </x:c>
      <x:c r="D17" s="14"/>
      <x:c r="E17" s="12" t="n">
        <x:v>456</x:v>
      </x:c>
      <x:c r="F17" s="12" t="n">
        <x:v>808</x:v>
      </x:c>
    </x:row>
    <x:row r="18" ht="23" customHeight="1">
      <x:c r="A18" s="10" t="n">
        <x:v>2021</x:v>
      </x:c>
      <x:c r="B18" s="12" t="n">
        <x:v>525027</x:v>
      </x:c>
      <x:c r="C18" s="14" t="n">
        <x:f>B18/B17-1</x:f>
        <x:v>0.05742637669834094</x:v>
      </x:c>
      <x:c r="D18" s="14"/>
      <x:c r="E18" s="12" t="n">
        <x:v>476</x:v>
      </x:c>
      <x:c r="F18" s="12" t="n">
        <x:v>869</x:v>
      </x:c>
    </x:row>
    <x:row r="19" ht="23" customHeight="1">
      <x:c r="A19" s="10" t="n">
        <x:v>2022</x:v>
      </x:c>
      <x:c r="B19" s="12" t="n">
        <x:v>541274</x:v>
      </x:c>
      <x:c r="C19" s="14" t="n">
        <x:f>B19/B18-1</x:f>
        <x:v>0.030945075205656147</x:v>
      </x:c>
      <x:c r="D19" s="14"/>
      <x:c r="E19" s="12" t="n">
        <x:v>498</x:v>
      </x:c>
      <x:c r="F19" s="12" t="n">
        <x:v>987</x:v>
      </x:c>
    </x:row>
    <x:row r="20" ht="23" customHeight="1">
      <x:c r="A20" s="10" t="n">
        <x:v>2023</x:v>
      </x:c>
      <x:c r="B20" s="12" t="n">
        <x:v>571327</x:v>
      </x:c>
      <x:c r="C20" s="14" t="n">
        <x:f>B20/B19-1</x:f>
        <x:v>0.0555227112331278</x:v>
      </x:c>
      <x:c r="D20" s="14"/>
      <x:c r="E20" s="12" t="n">
        <x:v>501</x:v>
      </x:c>
      <x:c r="F20" s="12" t="n">
        <x:v>997</x:v>
      </x:c>
    </x:row>
    <x:row r="21" ht="23" customHeight="1">
      <x:c r="A21" s="10" t="n">
        <x:v>2024</x:v>
      </x:c>
      <x:c r="B21" s="12" t="n">
        <x:v>596175</x:v>
      </x:c>
      <x:c r="C21" s="14" t="n">
        <x:f>B21/B20-1</x:f>
        <x:v>0.043491730655123906</x:v>
      </x:c>
      <x:c r="D21" s="14"/>
      <x:c r="E21" s="12"/>
      <x:c r="F21" s="12"/>
    </x:row>
    <x:row r="22" ht="23" customHeight="1">
      <x:c r="A22" s="10" t="n">
        <x:v>2025</x:v>
      </x:c>
      <x:c r="B22" s="12" t="n">
        <x:v>617000</x:v>
      </x:c>
      <x:c r="C22" s="14" t="n">
        <x:f>B22/B21-1</x:f>
        <x:v>0.034931018576760176</x:v>
      </x:c>
      <x:c r="D22" s="14"/>
      <x:c r="E22" s="12"/>
      <x:c r="F22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6" hidden="0" customWidth="1"/>
    <x:col min="5" max="5" width="28" hidden="0" customWidth="1"/>
    <x:col min="6" max="6" width="26" hidden="0" customWidth="1"/>
    <x:col min="7" max="7" width="23" hidden="0" customWidth="1"/>
  </x:cols>
  <x:sheetData>
    <x:row r="1" ht="23" customHeight="1">
      <x:c r="A1" s="3" t="str">
        <x:v>能源结构</x:v>
      </x:c>
      <x:c r="B1" s="2"/>
      <x:c r="C1" s="2"/>
      <x:c r="D1" s="2"/>
      <x:c r="E1" s="2"/>
      <x:c r="F1" s="2"/>
      <x:c r="G1" s="2"/>
    </x:row>
    <x:row r="2" ht="23" customHeight="1">
      <x:c r="A2" s="4" t="str">
        <x:v>来源：国家统计局能源总量及占比；估算值=总量×占比。2019 年占比合计 99.9%，差额另见 CSV。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34" customHeight="1">
      <x:c r="A4" s="8" t="str">
        <x:v>年份</x:v>
      </x:c>
      <x:c r="B4" s="8" t="str">
        <x:v>能源类别</x:v>
      </x:c>
      <x:c r="C4" s="8" t="str">
        <x:v>官方占比</x:v>
      </x:c>
      <x:c r="D4" s="8" t="str">
        <x:v>全国总量
万吨标准煤</x:v>
      </x:c>
      <x:c r="E4" s="8" t="str">
        <x:v>品种折标量估算
万吨标准煤</x:v>
      </x:c>
      <x:c r="F4" s="8" t="str">
        <x:v>占比较上年变化
百分点</x:v>
      </x:c>
      <x:c r="G4" s="8" t="str">
        <x:v>四类占比合计</x:v>
      </x:c>
    </x:row>
    <x:row r="5" ht="23" customHeight="1">
      <x:c r="A5" s="10" t="n">
        <x:v>2008</x:v>
      </x:c>
      <x:c r="B5" s="2" t="str">
        <x:v>煤炭</x:v>
      </x:c>
      <x:c r="C5" s="15" t="n">
        <x:v>0.715</x:v>
      </x:c>
      <x:c r="D5" s="16" t="n">
        <x:v>320611</x:v>
      </x:c>
      <x:c r="E5" s="16" t="n">
        <x:f>C5*D5</x:f>
        <x:v>229236.865</x:v>
      </x:c>
      <x:c r="F5" s="17"/>
      <x:c r="G5" s="15" t="n">
        <x:v>1</x:v>
      </x:c>
    </x:row>
    <x:row r="6" ht="23" customHeight="1">
      <x:c r="A6" s="10" t="n">
        <x:v>2008</x:v>
      </x:c>
      <x:c r="B6" s="2" t="str">
        <x:v>石油</x:v>
      </x:c>
      <x:c r="C6" s="15" t="n">
        <x:v>0.16699999999999998</x:v>
      </x:c>
      <x:c r="D6" s="16" t="n">
        <x:v>320611</x:v>
      </x:c>
      <x:c r="E6" s="16" t="n">
        <x:f>C6*D6</x:f>
        <x:v>53542.037</x:v>
      </x:c>
      <x:c r="F6" s="17"/>
      <x:c r="G6" s="15" t="n">
        <x:v>1</x:v>
      </x:c>
    </x:row>
    <x:row r="7" ht="23" customHeight="1">
      <x:c r="A7" s="10" t="n">
        <x:v>2008</x:v>
      </x:c>
      <x:c r="B7" s="2" t="str">
        <x:v>天然气</x:v>
      </x:c>
      <x:c r="C7" s="15" t="n">
        <x:v>0.034</x:v>
      </x:c>
      <x:c r="D7" s="16" t="n">
        <x:v>320611</x:v>
      </x:c>
      <x:c r="E7" s="16" t="n">
        <x:f>C7*D7</x:f>
        <x:v>10900.774000000001</x:v>
      </x:c>
      <x:c r="F7" s="17"/>
      <x:c r="G7" s="15" t="n">
        <x:v>1</x:v>
      </x:c>
    </x:row>
    <x:row r="8" ht="23" customHeight="1">
      <x:c r="A8" s="10" t="n">
        <x:v>2008</x:v>
      </x:c>
      <x:c r="B8" s="2" t="str">
        <x:v>一次电力及其他能源</x:v>
      </x:c>
      <x:c r="C8" s="15" t="n">
        <x:v>0.084</x:v>
      </x:c>
      <x:c r="D8" s="16" t="n">
        <x:v>320611</x:v>
      </x:c>
      <x:c r="E8" s="16" t="n">
        <x:f>C8*D8</x:f>
        <x:v>26931.324</x:v>
      </x:c>
      <x:c r="F8" s="17"/>
      <x:c r="G8" s="15" t="n">
        <x:v>1</x:v>
      </x:c>
    </x:row>
    <x:row r="9" ht="23" customHeight="1">
      <x:c r="A9" s="10" t="n">
        <x:v>2009</x:v>
      </x:c>
      <x:c r="B9" s="2" t="str">
        <x:v>煤炭</x:v>
      </x:c>
      <x:c r="C9" s="15" t="n">
        <x:v>0.716</x:v>
      </x:c>
      <x:c r="D9" s="16" t="n">
        <x:v>336126</x:v>
      </x:c>
      <x:c r="E9" s="16" t="n">
        <x:f>C9*D9</x:f>
        <x:v>240666.216</x:v>
      </x:c>
      <x:c r="F9" s="17" t="n">
        <x:v>0.09999999999999432</x:v>
      </x:c>
      <x:c r="G9" s="15" t="n">
        <x:v>1</x:v>
      </x:c>
    </x:row>
    <x:row r="10" ht="23" customHeight="1">
      <x:c r="A10" s="10" t="n">
        <x:v>2009</x:v>
      </x:c>
      <x:c r="B10" s="2" t="str">
        <x:v>石油</x:v>
      </x:c>
      <x:c r="C10" s="15" t="n">
        <x:v>0.16399999999999998</x:v>
      </x:c>
      <x:c r="D10" s="16" t="n">
        <x:v>336126</x:v>
      </x:c>
      <x:c r="E10" s="16" t="n">
        <x:f>C10*D10</x:f>
        <x:v>55124.66399999999</x:v>
      </x:c>
      <x:c r="F10" s="17" t="n">
        <x:v>-0.3000000000000007</x:v>
      </x:c>
      <x:c r="G10" s="15" t="n">
        <x:v>1</x:v>
      </x:c>
    </x:row>
    <x:row r="11" ht="23" customHeight="1">
      <x:c r="A11" s="10" t="n">
        <x:v>2009</x:v>
      </x:c>
      <x:c r="B11" s="2" t="str">
        <x:v>天然气</x:v>
      </x:c>
      <x:c r="C11" s="15" t="n">
        <x:v>0.035</x:v>
      </x:c>
      <x:c r="D11" s="16" t="n">
        <x:v>336126</x:v>
      </x:c>
      <x:c r="E11" s="16" t="n">
        <x:f>C11*D11</x:f>
        <x:v>11764.410000000002</x:v>
      </x:c>
      <x:c r="F11" s="17" t="n">
        <x:v>0.10000000000000009</x:v>
      </x:c>
      <x:c r="G11" s="15" t="n">
        <x:v>1</x:v>
      </x:c>
    </x:row>
    <x:row r="12" ht="23" customHeight="1">
      <x:c r="A12" s="10" t="n">
        <x:v>2009</x:v>
      </x:c>
      <x:c r="B12" s="2" t="str">
        <x:v>一次电力及其他能源</x:v>
      </x:c>
      <x:c r="C12" s="15" t="n">
        <x:v>0.085</x:v>
      </x:c>
      <x:c r="D12" s="16" t="n">
        <x:v>336126</x:v>
      </x:c>
      <x:c r="E12" s="16" t="n">
        <x:f>C12*D12</x:f>
        <x:v>28570.710000000003</x:v>
      </x:c>
      <x:c r="F12" s="17" t="n">
        <x:v>0.09999999999999964</x:v>
      </x:c>
      <x:c r="G12" s="15" t="n">
        <x:v>1</x:v>
      </x:c>
    </x:row>
    <x:row r="13" ht="23" customHeight="1">
      <x:c r="A13" s="10" t="n">
        <x:v>2010</x:v>
      </x:c>
      <x:c r="B13" s="2" t="str">
        <x:v>煤炭</x:v>
      </x:c>
      <x:c r="C13" s="15" t="n">
        <x:v>0.6920000000000001</x:v>
      </x:c>
      <x:c r="D13" s="16" t="n">
        <x:v>360648</x:v>
      </x:c>
      <x:c r="E13" s="16" t="n">
        <x:f>C13*D13</x:f>
        <x:v>249568.41600000003</x:v>
      </x:c>
      <x:c r="F13" s="17" t="n">
        <x:v>-2.3999999999999915</x:v>
      </x:c>
      <x:c r="G13" s="15" t="n">
        <x:v>1</x:v>
      </x:c>
    </x:row>
    <x:row r="14" ht="23" customHeight="1">
      <x:c r="A14" s="10" t="n">
        <x:v>2010</x:v>
      </x:c>
      <x:c r="B14" s="2" t="str">
        <x:v>石油</x:v>
      </x:c>
      <x:c r="C14" s="15" t="n">
        <x:v>0.174</x:v>
      </x:c>
      <x:c r="D14" s="16" t="n">
        <x:v>360648</x:v>
      </x:c>
      <x:c r="E14" s="16" t="n">
        <x:f>C14*D14</x:f>
        <x:v>62752.75199999999</x:v>
      </x:c>
      <x:c r="F14" s="17" t="n">
        <x:v>1</x:v>
      </x:c>
      <x:c r="G14" s="15" t="n">
        <x:v>1</x:v>
      </x:c>
    </x:row>
    <x:row r="15" ht="23" customHeight="1">
      <x:c r="A15" s="10" t="n">
        <x:v>2010</x:v>
      </x:c>
      <x:c r="B15" s="2" t="str">
        <x:v>天然气</x:v>
      </x:c>
      <x:c r="C15" s="15" t="n">
        <x:v>0.04</x:v>
      </x:c>
      <x:c r="D15" s="16" t="n">
        <x:v>360648</x:v>
      </x:c>
      <x:c r="E15" s="16" t="n">
        <x:f>C15*D15</x:f>
        <x:v>14425.92</x:v>
      </x:c>
      <x:c r="F15" s="17" t="n">
        <x:v>0.5</x:v>
      </x:c>
      <x:c r="G15" s="15" t="n">
        <x:v>1</x:v>
      </x:c>
    </x:row>
    <x:row r="16" ht="23" customHeight="1">
      <x:c r="A16" s="10" t="n">
        <x:v>2010</x:v>
      </x:c>
      <x:c r="B16" s="2" t="str">
        <x:v>一次电力及其他能源</x:v>
      </x:c>
      <x:c r="C16" s="15" t="n">
        <x:v>0.094</x:v>
      </x:c>
      <x:c r="D16" s="16" t="n">
        <x:v>360648</x:v>
      </x:c>
      <x:c r="E16" s="16" t="n">
        <x:f>C16*D16</x:f>
        <x:v>33900.912</x:v>
      </x:c>
      <x:c r="F16" s="17" t="n">
        <x:v>0.9000000000000004</x:v>
      </x:c>
      <x:c r="G16" s="15" t="n">
        <x:v>1</x:v>
      </x:c>
    </x:row>
    <x:row r="17" ht="23" customHeight="1">
      <x:c r="A17" s="10" t="n">
        <x:v>2011</x:v>
      </x:c>
      <x:c r="B17" s="2" t="str">
        <x:v>煤炭</x:v>
      </x:c>
      <x:c r="C17" s="15" t="n">
        <x:v>0.7020000000000001</x:v>
      </x:c>
      <x:c r="D17" s="16" t="n">
        <x:v>387043</x:v>
      </x:c>
      <x:c r="E17" s="16" t="n">
        <x:f>C17*D17</x:f>
        <x:v>271704.18600000005</x:v>
      </x:c>
      <x:c r="F17" s="17" t="n">
        <x:v>1</x:v>
      </x:c>
      <x:c r="G17" s="15" t="n">
        <x:v>1</x:v>
      </x:c>
    </x:row>
    <x:row r="18" ht="23" customHeight="1">
      <x:c r="A18" s="10" t="n">
        <x:v>2011</x:v>
      </x:c>
      <x:c r="B18" s="2" t="str">
        <x:v>石油</x:v>
      </x:c>
      <x:c r="C18" s="15" t="n">
        <x:v>0.168</x:v>
      </x:c>
      <x:c r="D18" s="16" t="n">
        <x:v>387043</x:v>
      </x:c>
      <x:c r="E18" s="16" t="n">
        <x:f>C18*D18</x:f>
        <x:v>65023.224</x:v>
      </x:c>
      <x:c r="F18" s="17" t="n">
        <x:v>-0.5999999999999979</x:v>
      </x:c>
      <x:c r="G18" s="15" t="n">
        <x:v>1</x:v>
      </x:c>
    </x:row>
    <x:row r="19" ht="23" customHeight="1">
      <x:c r="A19" s="10" t="n">
        <x:v>2011</x:v>
      </x:c>
      <x:c r="B19" s="2" t="str">
        <x:v>天然气</x:v>
      </x:c>
      <x:c r="C19" s="15" t="n">
        <x:v>0.046</x:v>
      </x:c>
      <x:c r="D19" s="16" t="n">
        <x:v>387043</x:v>
      </x:c>
      <x:c r="E19" s="16" t="n">
        <x:f>C19*D19</x:f>
        <x:v>17803.978</x:v>
      </x:c>
      <x:c r="F19" s="17" t="n">
        <x:v>0.5999999999999996</x:v>
      </x:c>
      <x:c r="G19" s="15" t="n">
        <x:v>1</x:v>
      </x:c>
    </x:row>
    <x:row r="20" ht="23" customHeight="1">
      <x:c r="A20" s="10" t="n">
        <x:v>2011</x:v>
      </x:c>
      <x:c r="B20" s="2" t="str">
        <x:v>一次电力及其他能源</x:v>
      </x:c>
      <x:c r="C20" s="15" t="n">
        <x:v>0.084</x:v>
      </x:c>
      <x:c r="D20" s="16" t="n">
        <x:v>387043</x:v>
      </x:c>
      <x:c r="E20" s="16" t="n">
        <x:f>C20*D20</x:f>
        <x:v>32511.612</x:v>
      </x:c>
      <x:c r="F20" s="17" t="n">
        <x:v>-1</x:v>
      </x:c>
      <x:c r="G20" s="15" t="n">
        <x:v>1</x:v>
      </x:c>
    </x:row>
    <x:row r="21" ht="23" customHeight="1">
      <x:c r="A21" s="10" t="n">
        <x:v>2012</x:v>
      </x:c>
      <x:c r="B21" s="2" t="str">
        <x:v>煤炭</x:v>
      </x:c>
      <x:c r="C21" s="15" t="n">
        <x:v>0.685</x:v>
      </x:c>
      <x:c r="D21" s="16" t="n">
        <x:v>402138</x:v>
      </x:c>
      <x:c r="E21" s="16" t="n">
        <x:f>C21*D21</x:f>
        <x:v>275464.53</x:v>
      </x:c>
      <x:c r="F21" s="17" t="n">
        <x:v>-1.7000000000000028</x:v>
      </x:c>
      <x:c r="G21" s="15" t="n">
        <x:v>1</x:v>
      </x:c>
    </x:row>
    <x:row r="22" ht="23" customHeight="1">
      <x:c r="A22" s="10" t="n">
        <x:v>2012</x:v>
      </x:c>
      <x:c r="B22" s="2" t="str">
        <x:v>石油</x:v>
      </x:c>
      <x:c r="C22" s="15" t="n">
        <x:v>0.17</x:v>
      </x:c>
      <x:c r="D22" s="16" t="n">
        <x:v>402138</x:v>
      </x:c>
      <x:c r="E22" s="16" t="n">
        <x:f>C22*D22</x:f>
        <x:v>68363.46</x:v>
      </x:c>
      <x:c r="F22" s="17" t="n">
        <x:v>0.1999999999999993</x:v>
      </x:c>
      <x:c r="G22" s="15" t="n">
        <x:v>1</x:v>
      </x:c>
    </x:row>
    <x:row r="23" ht="23" customHeight="1">
      <x:c r="A23" s="10" t="n">
        <x:v>2012</x:v>
      </x:c>
      <x:c r="B23" s="2" t="str">
        <x:v>天然气</x:v>
      </x:c>
      <x:c r="C23" s="15" t="n">
        <x:v>0.048</x:v>
      </x:c>
      <x:c r="D23" s="16" t="n">
        <x:v>402138</x:v>
      </x:c>
      <x:c r="E23" s="16" t="n">
        <x:f>C23*D23</x:f>
        <x:v>19302.624</x:v>
      </x:c>
      <x:c r="F23" s="17" t="n">
        <x:v>0.20000000000000018</x:v>
      </x:c>
      <x:c r="G23" s="15" t="n">
        <x:v>1</x:v>
      </x:c>
    </x:row>
    <x:row r="24" ht="23" customHeight="1">
      <x:c r="A24" s="10" t="n">
        <x:v>2012</x:v>
      </x:c>
      <x:c r="B24" s="2" t="str">
        <x:v>一次电力及其他能源</x:v>
      </x:c>
      <x:c r="C24" s="15" t="n">
        <x:v>0.09699999999999999</x:v>
      </x:c>
      <x:c r="D24" s="16" t="n">
        <x:v>402138</x:v>
      </x:c>
      <x:c r="E24" s="16" t="n">
        <x:f>C24*D24</x:f>
        <x:v>39007.386</x:v>
      </x:c>
      <x:c r="F24" s="17" t="n">
        <x:v>1.299999999999999</x:v>
      </x:c>
      <x:c r="G24" s="15" t="n">
        <x:v>1</x:v>
      </x:c>
    </x:row>
    <x:row r="25" ht="23" customHeight="1">
      <x:c r="A25" s="10" t="n">
        <x:v>2013</x:v>
      </x:c>
      <x:c r="B25" s="2" t="str">
        <x:v>煤炭</x:v>
      </x:c>
      <x:c r="C25" s="15" t="n">
        <x:v>0.674</x:v>
      </x:c>
      <x:c r="D25" s="16" t="n">
        <x:v>416913</x:v>
      </x:c>
      <x:c r="E25" s="16" t="n">
        <x:f>C25*D25</x:f>
        <x:v>280999.362</x:v>
      </x:c>
      <x:c r="F25" s="17" t="n">
        <x:v>-1.0999999999999943</x:v>
      </x:c>
      <x:c r="G25" s="15" t="n">
        <x:v>1</x:v>
      </x:c>
    </x:row>
    <x:row r="26" ht="23" customHeight="1">
      <x:c r="A26" s="10" t="n">
        <x:v>2013</x:v>
      </x:c>
      <x:c r="B26" s="2" t="str">
        <x:v>石油</x:v>
      </x:c>
      <x:c r="C26" s="15" t="n">
        <x:v>0.171</x:v>
      </x:c>
      <x:c r="D26" s="16" t="n">
        <x:v>416913</x:v>
      </x:c>
      <x:c r="E26" s="16" t="n">
        <x:f>C26*D26</x:f>
        <x:v>71292.123</x:v>
      </x:c>
      <x:c r="F26" s="17" t="n">
        <x:v>0.10000000000000142</x:v>
      </x:c>
      <x:c r="G26" s="15" t="n">
        <x:v>1</x:v>
      </x:c>
    </x:row>
    <x:row r="27" ht="23" customHeight="1">
      <x:c r="A27" s="10" t="n">
        <x:v>2013</x:v>
      </x:c>
      <x:c r="B27" s="2" t="str">
        <x:v>天然气</x:v>
      </x:c>
      <x:c r="C27" s="15" t="n">
        <x:v>0.053</x:v>
      </x:c>
      <x:c r="D27" s="16" t="n">
        <x:v>416913</x:v>
      </x:c>
      <x:c r="E27" s="16" t="n">
        <x:f>C27*D27</x:f>
        <x:v>22096.389</x:v>
      </x:c>
      <x:c r="F27" s="17" t="n">
        <x:v>0.5</x:v>
      </x:c>
      <x:c r="G27" s="15" t="n">
        <x:v>1</x:v>
      </x:c>
    </x:row>
    <x:row r="28" ht="23" customHeight="1">
      <x:c r="A28" s="10" t="n">
        <x:v>2013</x:v>
      </x:c>
      <x:c r="B28" s="2" t="str">
        <x:v>一次电力及其他能源</x:v>
      </x:c>
      <x:c r="C28" s="15" t="n">
        <x:v>0.102</x:v>
      </x:c>
      <x:c r="D28" s="16" t="n">
        <x:v>416913</x:v>
      </x:c>
      <x:c r="E28" s="16" t="n">
        <x:f>C28*D28</x:f>
        <x:v>42525.126</x:v>
      </x:c>
      <x:c r="F28" s="17" t="n">
        <x:v>0.5</x:v>
      </x:c>
      <x:c r="G28" s="15" t="n">
        <x:v>1</x:v>
      </x:c>
    </x:row>
    <x:row r="29" ht="23" customHeight="1">
      <x:c r="A29" s="10" t="n">
        <x:v>2014</x:v>
      </x:c>
      <x:c r="B29" s="2" t="str">
        <x:v>煤炭</x:v>
      </x:c>
      <x:c r="C29" s="15" t="n">
        <x:v>0.6579999999999999</x:v>
      </x:c>
      <x:c r="D29" s="16" t="n">
        <x:v>428334</x:v>
      </x:c>
      <x:c r="E29" s="16" t="n">
        <x:f>C29*D29</x:f>
        <x:v>281843.77199999994</x:v>
      </x:c>
      <x:c r="F29" s="17" t="n">
        <x:v>-1.6000000000000085</x:v>
      </x:c>
      <x:c r="G29" s="15" t="n">
        <x:v>1</x:v>
      </x:c>
    </x:row>
    <x:row r="30" ht="23" customHeight="1">
      <x:c r="A30" s="10" t="n">
        <x:v>2014</x:v>
      </x:c>
      <x:c r="B30" s="2" t="str">
        <x:v>石油</x:v>
      </x:c>
      <x:c r="C30" s="15" t="n">
        <x:v>0.17300000000000001</x:v>
      </x:c>
      <x:c r="D30" s="16" t="n">
        <x:v>428334</x:v>
      </x:c>
      <x:c r="E30" s="16" t="n">
        <x:f>C30*D30</x:f>
        <x:v>74101.782</x:v>
      </x:c>
      <x:c r="F30" s="17" t="n">
        <x:v>0.1999999999999993</x:v>
      </x:c>
      <x:c r="G30" s="15" t="n">
        <x:v>1</x:v>
      </x:c>
    </x:row>
    <x:row r="31" ht="23" customHeight="1">
      <x:c r="A31" s="10" t="n">
        <x:v>2014</x:v>
      </x:c>
      <x:c r="B31" s="2" t="str">
        <x:v>天然气</x:v>
      </x:c>
      <x:c r="C31" s="15" t="n">
        <x:v>0.055999999999999994</x:v>
      </x:c>
      <x:c r="D31" s="16" t="n">
        <x:v>428334</x:v>
      </x:c>
      <x:c r="E31" s="16" t="n">
        <x:f>C31*D31</x:f>
        <x:v>23986.703999999998</x:v>
      </x:c>
      <x:c r="F31" s="17" t="n">
        <x:v>0.2999999999999998</x:v>
      </x:c>
      <x:c r="G31" s="15" t="n">
        <x:v>1</x:v>
      </x:c>
    </x:row>
    <x:row r="32" ht="23" customHeight="1">
      <x:c r="A32" s="10" t="n">
        <x:v>2014</x:v>
      </x:c>
      <x:c r="B32" s="2" t="str">
        <x:v>一次电力及其他能源</x:v>
      </x:c>
      <x:c r="C32" s="15" t="n">
        <x:v>0.113</x:v>
      </x:c>
      <x:c r="D32" s="16" t="n">
        <x:v>428334</x:v>
      </x:c>
      <x:c r="E32" s="16" t="n">
        <x:f>C32*D32</x:f>
        <x:v>48401.742</x:v>
      </x:c>
      <x:c r="F32" s="17" t="n">
        <x:v>1.1000000000000014</x:v>
      </x:c>
      <x:c r="G32" s="15" t="n">
        <x:v>1</x:v>
      </x:c>
    </x:row>
    <x:row r="33" ht="23" customHeight="1">
      <x:c r="A33" s="10" t="n">
        <x:v>2015</x:v>
      </x:c>
      <x:c r="B33" s="2" t="str">
        <x:v>煤炭</x:v>
      </x:c>
      <x:c r="C33" s="15" t="n">
        <x:v>0.638</x:v>
      </x:c>
      <x:c r="D33" s="16" t="n">
        <x:v>434113</x:v>
      </x:c>
      <x:c r="E33" s="16" t="n">
        <x:f>C33*D33</x:f>
        <x:v>276964.094</x:v>
      </x:c>
      <x:c r="F33" s="17" t="n">
        <x:v>-2</x:v>
      </x:c>
      <x:c r="G33" s="15" t="n">
        <x:v>1</x:v>
      </x:c>
    </x:row>
    <x:row r="34" ht="23" customHeight="1">
      <x:c r="A34" s="10" t="n">
        <x:v>2015</x:v>
      </x:c>
      <x:c r="B34" s="2" t="str">
        <x:v>石油</x:v>
      </x:c>
      <x:c r="C34" s="15" t="n">
        <x:v>0.184</x:v>
      </x:c>
      <x:c r="D34" s="16" t="n">
        <x:v>434113</x:v>
      </x:c>
      <x:c r="E34" s="16" t="n">
        <x:f>C34*D34</x:f>
        <x:v>79876.792</x:v>
      </x:c>
      <x:c r="F34" s="17" t="n">
        <x:v>1.0999999999999979</x:v>
      </x:c>
      <x:c r="G34" s="15" t="n">
        <x:v>1</x:v>
      </x:c>
    </x:row>
    <x:row r="35" ht="23" customHeight="1">
      <x:c r="A35" s="10" t="n">
        <x:v>2015</x:v>
      </x:c>
      <x:c r="B35" s="2" t="str">
        <x:v>天然气</x:v>
      </x:c>
      <x:c r="C35" s="15" t="n">
        <x:v>0.057999999999999996</x:v>
      </x:c>
      <x:c r="D35" s="16" t="n">
        <x:v>434113</x:v>
      </x:c>
      <x:c r="E35" s="16" t="n">
        <x:f>C35*D35</x:f>
        <x:v>25178.553999999996</x:v>
      </x:c>
      <x:c r="F35" s="17" t="n">
        <x:v>0.20000000000000018</x:v>
      </x:c>
      <x:c r="G35" s="15" t="n">
        <x:v>1</x:v>
      </x:c>
    </x:row>
    <x:row r="36" ht="23" customHeight="1">
      <x:c r="A36" s="10" t="n">
        <x:v>2015</x:v>
      </x:c>
      <x:c r="B36" s="2" t="str">
        <x:v>一次电力及其他能源</x:v>
      </x:c>
      <x:c r="C36" s="15" t="n">
        <x:v>0.12</x:v>
      </x:c>
      <x:c r="D36" s="16" t="n">
        <x:v>434113</x:v>
      </x:c>
      <x:c r="E36" s="16" t="n">
        <x:f>C36*D36</x:f>
        <x:v>52093.56</x:v>
      </x:c>
      <x:c r="F36" s="17" t="n">
        <x:v>0.6999999999999993</x:v>
      </x:c>
      <x:c r="G36" s="15" t="n">
        <x:v>1</x:v>
      </x:c>
    </x:row>
    <x:row r="37" ht="23" customHeight="1">
      <x:c r="A37" s="10" t="n">
        <x:v>2016</x:v>
      </x:c>
      <x:c r="B37" s="2" t="str">
        <x:v>煤炭</x:v>
      </x:c>
      <x:c r="C37" s="15" t="n">
        <x:v>0.622</x:v>
      </x:c>
      <x:c r="D37" s="16" t="n">
        <x:v>441492</x:v>
      </x:c>
      <x:c r="E37" s="16" t="n">
        <x:f>C37*D37</x:f>
        <x:v>274608.024</x:v>
      </x:c>
      <x:c r="F37" s="17" t="n">
        <x:v>-1.5999999999999943</x:v>
      </x:c>
      <x:c r="G37" s="15" t="n">
        <x:v>1</x:v>
      </x:c>
    </x:row>
    <x:row r="38" ht="23" customHeight="1">
      <x:c r="A38" s="10" t="n">
        <x:v>2016</x:v>
      </x:c>
      <x:c r="B38" s="2" t="str">
        <x:v>石油</x:v>
      </x:c>
      <x:c r="C38" s="15" t="n">
        <x:v>0.187</x:v>
      </x:c>
      <x:c r="D38" s="16" t="n">
        <x:v>441492</x:v>
      </x:c>
      <x:c r="E38" s="16" t="n">
        <x:f>C38*D38</x:f>
        <x:v>82559.004</x:v>
      </x:c>
      <x:c r="F38" s="17" t="n">
        <x:v>0.3000000000000007</x:v>
      </x:c>
      <x:c r="G38" s="15" t="n">
        <x:v>1</x:v>
      </x:c>
    </x:row>
    <x:row r="39" ht="23" customHeight="1">
      <x:c r="A39" s="10" t="n">
        <x:v>2016</x:v>
      </x:c>
      <x:c r="B39" s="2" t="str">
        <x:v>天然气</x:v>
      </x:c>
      <x:c r="C39" s="15" t="n">
        <x:v>0.061</x:v>
      </x:c>
      <x:c r="D39" s="16" t="n">
        <x:v>441492</x:v>
      </x:c>
      <x:c r="E39" s="16" t="n">
        <x:f>C39*D39</x:f>
        <x:v>26931.012</x:v>
      </x:c>
      <x:c r="F39" s="17" t="n">
        <x:v>0.2999999999999998</x:v>
      </x:c>
      <x:c r="G39" s="15" t="n">
        <x:v>1</x:v>
      </x:c>
    </x:row>
    <x:row r="40" ht="23" customHeight="1">
      <x:c r="A40" s="10" t="n">
        <x:v>2016</x:v>
      </x:c>
      <x:c r="B40" s="2" t="str">
        <x:v>一次电力及其他能源</x:v>
      </x:c>
      <x:c r="C40" s="15" t="n">
        <x:v>0.13</x:v>
      </x:c>
      <x:c r="D40" s="16" t="n">
        <x:v>441492</x:v>
      </x:c>
      <x:c r="E40" s="16" t="n">
        <x:f>C40*D40</x:f>
        <x:v>57393.96</x:v>
      </x:c>
      <x:c r="F40" s="17" t="n">
        <x:v>1</x:v>
      </x:c>
      <x:c r="G40" s="15" t="n">
        <x:v>1</x:v>
      </x:c>
    </x:row>
    <x:row r="41" ht="23" customHeight="1">
      <x:c r="A41" s="10" t="n">
        <x:v>2017</x:v>
      </x:c>
      <x:c r="B41" s="2" t="str">
        <x:v>煤炭</x:v>
      </x:c>
      <x:c r="C41" s="15" t="n">
        <x:v>0.606</x:v>
      </x:c>
      <x:c r="D41" s="16" t="n">
        <x:v>455827</x:v>
      </x:c>
      <x:c r="E41" s="16" t="n">
        <x:f>C41*D41</x:f>
        <x:v>276231.162</x:v>
      </x:c>
      <x:c r="F41" s="17" t="n">
        <x:v>-1.6000000000000014</x:v>
      </x:c>
      <x:c r="G41" s="15" t="n">
        <x:v>1</x:v>
      </x:c>
    </x:row>
    <x:row r="42" ht="23" customHeight="1">
      <x:c r="A42" s="10" t="n">
        <x:v>2017</x:v>
      </x:c>
      <x:c r="B42" s="2" t="str">
        <x:v>石油</x:v>
      </x:c>
      <x:c r="C42" s="15" t="n">
        <x:v>0.18899999999999997</x:v>
      </x:c>
      <x:c r="D42" s="16" t="n">
        <x:v>455827</x:v>
      </x:c>
      <x:c r="E42" s="16" t="n">
        <x:f>C42*D42</x:f>
        <x:v>86151.30299999999</x:v>
      </x:c>
      <x:c r="F42" s="17" t="n">
        <x:v>0.1999999999999993</x:v>
      </x:c>
      <x:c r="G42" s="15" t="n">
        <x:v>1</x:v>
      </x:c>
    </x:row>
    <x:row r="43" ht="23" customHeight="1">
      <x:c r="A43" s="10" t="n">
        <x:v>2017</x:v>
      </x:c>
      <x:c r="B43" s="2" t="str">
        <x:v>天然气</x:v>
      </x:c>
      <x:c r="C43" s="15" t="n">
        <x:v>0.069</x:v>
      </x:c>
      <x:c r="D43" s="16" t="n">
        <x:v>455827</x:v>
      </x:c>
      <x:c r="E43" s="16" t="n">
        <x:f>C43*D43</x:f>
        <x:v>31452.063000000002</x:v>
      </x:c>
      <x:c r="F43" s="17" t="n">
        <x:v>0.8000000000000007</x:v>
      </x:c>
      <x:c r="G43" s="15" t="n">
        <x:v>1</x:v>
      </x:c>
    </x:row>
    <x:row r="44" ht="23" customHeight="1">
      <x:c r="A44" s="10" t="n">
        <x:v>2017</x:v>
      </x:c>
      <x:c r="B44" s="2" t="str">
        <x:v>一次电力及其他能源</x:v>
      </x:c>
      <x:c r="C44" s="15" t="n">
        <x:v>0.136</x:v>
      </x:c>
      <x:c r="D44" s="16" t="n">
        <x:v>455827</x:v>
      </x:c>
      <x:c r="E44" s="16" t="n">
        <x:f>C44*D44</x:f>
        <x:v>61992.472</x:v>
      </x:c>
      <x:c r="F44" s="17" t="n">
        <x:v>0.5999999999999996</x:v>
      </x:c>
      <x:c r="G44" s="15" t="n">
        <x:v>1</x:v>
      </x:c>
    </x:row>
    <x:row r="45" ht="23" customHeight="1">
      <x:c r="A45" s="10" t="n">
        <x:v>2018</x:v>
      </x:c>
      <x:c r="B45" s="2" t="str">
        <x:v>煤炭</x:v>
      </x:c>
      <x:c r="C45" s="15" t="n">
        <x:v>0.59</x:v>
      </x:c>
      <x:c r="D45" s="16" t="n">
        <x:v>471925</x:v>
      </x:c>
      <x:c r="E45" s="16" t="n">
        <x:f>C45*D45</x:f>
        <x:v>278435.75</x:v>
      </x:c>
      <x:c r="F45" s="17" t="n">
        <x:v>-1.6000000000000014</x:v>
      </x:c>
      <x:c r="G45" s="15" t="n">
        <x:v>1</x:v>
      </x:c>
    </x:row>
    <x:row r="46" ht="23" customHeight="1">
      <x:c r="A46" s="10" t="n">
        <x:v>2018</x:v>
      </x:c>
      <x:c r="B46" s="2" t="str">
        <x:v>石油</x:v>
      </x:c>
      <x:c r="C46" s="15" t="n">
        <x:v>0.18899999999999997</x:v>
      </x:c>
      <x:c r="D46" s="16" t="n">
        <x:v>471925</x:v>
      </x:c>
      <x:c r="E46" s="16" t="n">
        <x:f>C46*D46</x:f>
        <x:v>89193.82499999998</x:v>
      </x:c>
      <x:c r="F46" s="17" t="n">
        <x:v>0</x:v>
      </x:c>
      <x:c r="G46" s="15" t="n">
        <x:v>1</x:v>
      </x:c>
    </x:row>
    <x:row r="47" ht="23" customHeight="1">
      <x:c r="A47" s="10" t="n">
        <x:v>2018</x:v>
      </x:c>
      <x:c r="B47" s="2" t="str">
        <x:v>天然气</x:v>
      </x:c>
      <x:c r="C47" s="15" t="n">
        <x:v>0.076</x:v>
      </x:c>
      <x:c r="D47" s="16" t="n">
        <x:v>471925</x:v>
      </x:c>
      <x:c r="E47" s="16" t="n">
        <x:f>C47*D47</x:f>
        <x:v>35866.299999999996</x:v>
      </x:c>
      <x:c r="F47" s="17" t="n">
        <x:v>0.6999999999999993</x:v>
      </x:c>
      <x:c r="G47" s="15" t="n">
        <x:v>1</x:v>
      </x:c>
    </x:row>
    <x:row r="48" ht="23" customHeight="1">
      <x:c r="A48" s="10" t="n">
        <x:v>2018</x:v>
      </x:c>
      <x:c r="B48" s="2" t="str">
        <x:v>一次电力及其他能源</x:v>
      </x:c>
      <x:c r="C48" s="15" t="n">
        <x:v>0.145</x:v>
      </x:c>
      <x:c r="D48" s="16" t="n">
        <x:v>471925</x:v>
      </x:c>
      <x:c r="E48" s="16" t="n">
        <x:f>C48*D48</x:f>
        <x:v>68429.125</x:v>
      </x:c>
      <x:c r="F48" s="17" t="n">
        <x:v>0.9000000000000004</x:v>
      </x:c>
      <x:c r="G48" s="15" t="n">
        <x:v>1</x:v>
      </x:c>
    </x:row>
    <x:row r="49" ht="23" customHeight="1">
      <x:c r="A49" s="10" t="n">
        <x:v>2019</x:v>
      </x:c>
      <x:c r="B49" s="2" t="str">
        <x:v>煤炭</x:v>
      </x:c>
      <x:c r="C49" s="15" t="n">
        <x:v>0.575</x:v>
      </x:c>
      <x:c r="D49" s="16" t="n">
        <x:v>485584</x:v>
      </x:c>
      <x:c r="E49" s="16" t="n">
        <x:f>C49*D49</x:f>
        <x:v>279210.8</x:v>
      </x:c>
      <x:c r="F49" s="17" t="n">
        <x:v>-1.5</x:v>
      </x:c>
      <x:c r="G49" s="15" t="n">
        <x:v>0.9990000000000001</x:v>
      </x:c>
    </x:row>
    <x:row r="50" ht="23" customHeight="1">
      <x:c r="A50" s="10" t="n">
        <x:v>2019</x:v>
      </x:c>
      <x:c r="B50" s="2" t="str">
        <x:v>石油</x:v>
      </x:c>
      <x:c r="C50" s="15" t="n">
        <x:v>0.19</x:v>
      </x:c>
      <x:c r="D50" s="16" t="n">
        <x:v>485584</x:v>
      </x:c>
      <x:c r="E50" s="16" t="n">
        <x:f>C50*D50</x:f>
        <x:v>92260.96</x:v>
      </x:c>
      <x:c r="F50" s="17" t="n">
        <x:v>0.10000000000000142</x:v>
      </x:c>
      <x:c r="G50" s="15" t="n">
        <x:v>0.9990000000000001</x:v>
      </x:c>
    </x:row>
    <x:row r="51" ht="23" customHeight="1">
      <x:c r="A51" s="10" t="n">
        <x:v>2019</x:v>
      </x:c>
      <x:c r="B51" s="2" t="str">
        <x:v>天然气</x:v>
      </x:c>
      <x:c r="C51" s="15" t="n">
        <x:v>0.08</x:v>
      </x:c>
      <x:c r="D51" s="16" t="n">
        <x:v>485584</x:v>
      </x:c>
      <x:c r="E51" s="16" t="n">
        <x:f>C51*D51</x:f>
        <x:v>38846.72</x:v>
      </x:c>
      <x:c r="F51" s="17" t="n">
        <x:v>0.40000000000000036</x:v>
      </x:c>
      <x:c r="G51" s="15" t="n">
        <x:v>0.9990000000000001</x:v>
      </x:c>
    </x:row>
    <x:row r="52" ht="23" customHeight="1">
      <x:c r="A52" s="10" t="n">
        <x:v>2019</x:v>
      </x:c>
      <x:c r="B52" s="2" t="str">
        <x:v>一次电力及其他能源</x:v>
      </x:c>
      <x:c r="C52" s="15" t="n">
        <x:v>0.154</x:v>
      </x:c>
      <x:c r="D52" s="16" t="n">
        <x:v>485584</x:v>
      </x:c>
      <x:c r="E52" s="16" t="n">
        <x:f>C52*D52</x:f>
        <x:v>74779.936</x:v>
      </x:c>
      <x:c r="F52" s="17" t="n">
        <x:v>0.9000000000000004</x:v>
      </x:c>
      <x:c r="G52" s="15" t="n">
        <x:v>0.9990000000000001</x:v>
      </x:c>
    </x:row>
    <x:row r="53" ht="23" customHeight="1">
      <x:c r="A53" s="10" t="n">
        <x:v>2020</x:v>
      </x:c>
      <x:c r="B53" s="2" t="str">
        <x:v>煤炭</x:v>
      </x:c>
      <x:c r="C53" s="15" t="n">
        <x:v>0.5670000000000001</x:v>
      </x:c>
      <x:c r="D53" s="16" t="n">
        <x:v>496514</x:v>
      </x:c>
      <x:c r="E53" s="16" t="n">
        <x:f>C53*D53</x:f>
        <x:v>281523.438</x:v>
      </x:c>
      <x:c r="F53" s="17" t="n">
        <x:v>-0.7999999999999972</x:v>
      </x:c>
      <x:c r="G53" s="15" t="n">
        <x:v>1</x:v>
      </x:c>
    </x:row>
    <x:row r="54" ht="23" customHeight="1">
      <x:c r="A54" s="10" t="n">
        <x:v>2020</x:v>
      </x:c>
      <x:c r="B54" s="2" t="str">
        <x:v>石油</x:v>
      </x:c>
      <x:c r="C54" s="15" t="n">
        <x:v>0.18899999999999997</x:v>
      </x:c>
      <x:c r="D54" s="16" t="n">
        <x:v>496514</x:v>
      </x:c>
      <x:c r="E54" s="16" t="n">
        <x:f>C54*D54</x:f>
        <x:v>93841.146</x:v>
      </x:c>
      <x:c r="F54" s="17" t="n">
        <x:v>-0.10000000000000142</x:v>
      </x:c>
      <x:c r="G54" s="15" t="n">
        <x:v>1</x:v>
      </x:c>
    </x:row>
    <x:row r="55" ht="23" customHeight="1">
      <x:c r="A55" s="10" t="n">
        <x:v>2020</x:v>
      </x:c>
      <x:c r="B55" s="2" t="str">
        <x:v>天然气</x:v>
      </x:c>
      <x:c r="C55" s="15" t="n">
        <x:v>0.084</x:v>
      </x:c>
      <x:c r="D55" s="16" t="n">
        <x:v>496514</x:v>
      </x:c>
      <x:c r="E55" s="16" t="n">
        <x:f>C55*D55</x:f>
        <x:v>41707.176</x:v>
      </x:c>
      <x:c r="F55" s="17" t="n">
        <x:v>0.40000000000000036</x:v>
      </x:c>
      <x:c r="G55" s="15" t="n">
        <x:v>1</x:v>
      </x:c>
    </x:row>
    <x:row r="56" ht="23" customHeight="1">
      <x:c r="A56" s="10" t="n">
        <x:v>2020</x:v>
      </x:c>
      <x:c r="B56" s="2" t="str">
        <x:v>一次电力及其他能源</x:v>
      </x:c>
      <x:c r="C56" s="15" t="n">
        <x:v>0.16</x:v>
      </x:c>
      <x:c r="D56" s="16" t="n">
        <x:v>496514</x:v>
      </x:c>
      <x:c r="E56" s="16" t="n">
        <x:f>C56*D56</x:f>
        <x:v>79442.24</x:v>
      </x:c>
      <x:c r="F56" s="17" t="n">
        <x:v>0.5999999999999996</x:v>
      </x:c>
      <x:c r="G56" s="15" t="n">
        <x:v>1</x:v>
      </x:c>
    </x:row>
    <x:row r="57" ht="23" customHeight="1">
      <x:c r="A57" s="10" t="n">
        <x:v>2021</x:v>
      </x:c>
      <x:c r="B57" s="2" t="str">
        <x:v>煤炭</x:v>
      </x:c>
      <x:c r="C57" s="15" t="n">
        <x:v>0.557</x:v>
      </x:c>
      <x:c r="D57" s="16" t="n">
        <x:v>525027</x:v>
      </x:c>
      <x:c r="E57" s="16" t="n">
        <x:f>C57*D57</x:f>
        <x:v>292440.03900000005</x:v>
      </x:c>
      <x:c r="F57" s="17" t="n">
        <x:v>-1</x:v>
      </x:c>
      <x:c r="G57" s="15" t="n">
        <x:v>1</x:v>
      </x:c>
    </x:row>
    <x:row r="58" ht="23" customHeight="1">
      <x:c r="A58" s="10" t="n">
        <x:v>2021</x:v>
      </x:c>
      <x:c r="B58" s="2" t="str">
        <x:v>石油</x:v>
      </x:c>
      <x:c r="C58" s="15" t="n">
        <x:v>0.188</x:v>
      </x:c>
      <x:c r="D58" s="16" t="n">
        <x:v>525027</x:v>
      </x:c>
      <x:c r="E58" s="16" t="n">
        <x:f>C58*D58</x:f>
        <x:v>98705.076</x:v>
      </x:c>
      <x:c r="F58" s="17" t="n">
        <x:v>-0.09999999999999787</x:v>
      </x:c>
      <x:c r="G58" s="15" t="n">
        <x:v>1</x:v>
      </x:c>
    </x:row>
    <x:row r="59" ht="23" customHeight="1">
      <x:c r="A59" s="10" t="n">
        <x:v>2021</x:v>
      </x:c>
      <x:c r="B59" s="2" t="str">
        <x:v>天然气</x:v>
      </x:c>
      <x:c r="C59" s="15" t="n">
        <x:v>0.08800000000000001</x:v>
      </x:c>
      <x:c r="D59" s="16" t="n">
        <x:v>525027</x:v>
      </x:c>
      <x:c r="E59" s="16" t="n">
        <x:f>C59*D59</x:f>
        <x:v>46202.376000000004</x:v>
      </x:c>
      <x:c r="F59" s="17" t="n">
        <x:v>0.40000000000000036</x:v>
      </x:c>
      <x:c r="G59" s="15" t="n">
        <x:v>1</x:v>
      </x:c>
    </x:row>
    <x:row r="60" ht="23" customHeight="1">
      <x:c r="A60" s="10" t="n">
        <x:v>2021</x:v>
      </x:c>
      <x:c r="B60" s="2" t="str">
        <x:v>一次电力及其他能源</x:v>
      </x:c>
      <x:c r="C60" s="15" t="n">
        <x:v>0.16699999999999998</x:v>
      </x:c>
      <x:c r="D60" s="16" t="n">
        <x:v>525027</x:v>
      </x:c>
      <x:c r="E60" s="16" t="n">
        <x:f>C60*D60</x:f>
        <x:v>87679.50899999999</x:v>
      </x:c>
      <x:c r="F60" s="17" t="n">
        <x:v>0.6999999999999993</x:v>
      </x:c>
      <x:c r="G60" s="15" t="n">
        <x:v>1</x:v>
      </x:c>
    </x:row>
    <x:row r="61" ht="23" customHeight="1">
      <x:c r="A61" s="10" t="n">
        <x:v>2022</x:v>
      </x:c>
      <x:c r="B61" s="2" t="str">
        <x:v>煤炭</x:v>
      </x:c>
      <x:c r="C61" s="15" t="n">
        <x:v>0.556</x:v>
      </x:c>
      <x:c r="D61" s="16" t="n">
        <x:v>541274</x:v>
      </x:c>
      <x:c r="E61" s="16" t="n">
        <x:f>C61*D61</x:f>
        <x:v>300948.34400000004</x:v>
      </x:c>
      <x:c r="F61" s="17" t="n">
        <x:v>-0.10000000000000142</x:v>
      </x:c>
      <x:c r="G61" s="15" t="n">
        <x:v>1</x:v>
      </x:c>
    </x:row>
    <x:row r="62" ht="23" customHeight="1">
      <x:c r="A62" s="10" t="n">
        <x:v>2022</x:v>
      </x:c>
      <x:c r="B62" s="2" t="str">
        <x:v>石油</x:v>
      </x:c>
      <x:c r="C62" s="15" t="n">
        <x:v>0.184</x:v>
      </x:c>
      <x:c r="D62" s="16" t="n">
        <x:v>541274</x:v>
      </x:c>
      <x:c r="E62" s="16" t="n">
        <x:f>C62*D62</x:f>
        <x:v>99594.416</x:v>
      </x:c>
      <x:c r="F62" s="17" t="n">
        <x:v>-0.40000000000000213</x:v>
      </x:c>
      <x:c r="G62" s="15" t="n">
        <x:v>1</x:v>
      </x:c>
    </x:row>
    <x:row r="63" ht="23" customHeight="1">
      <x:c r="A63" s="10" t="n">
        <x:v>2022</x:v>
      </x:c>
      <x:c r="B63" s="2" t="str">
        <x:v>天然气</x:v>
      </x:c>
      <x:c r="C63" s="15" t="n">
        <x:v>0.084</x:v>
      </x:c>
      <x:c r="D63" s="16" t="n">
        <x:v>541274</x:v>
      </x:c>
      <x:c r="E63" s="16" t="n">
        <x:f>C63*D63</x:f>
        <x:v>45467.016</x:v>
      </x:c>
      <x:c r="F63" s="17" t="n">
        <x:v>-0.40000000000000036</x:v>
      </x:c>
      <x:c r="G63" s="15" t="n">
        <x:v>1</x:v>
      </x:c>
    </x:row>
    <x:row r="64" ht="23" customHeight="1">
      <x:c r="A64" s="10" t="n">
        <x:v>2022</x:v>
      </x:c>
      <x:c r="B64" s="2" t="str">
        <x:v>一次电力及其他能源</x:v>
      </x:c>
      <x:c r="C64" s="15" t="n">
        <x:v>0.17600000000000002</x:v>
      </x:c>
      <x:c r="D64" s="16" t="n">
        <x:v>541274</x:v>
      </x:c>
      <x:c r="E64" s="16" t="n">
        <x:f>C64*D64</x:f>
        <x:v>95264.22400000002</x:v>
      </x:c>
      <x:c r="F64" s="17" t="n">
        <x:v>0.9000000000000021</x:v>
      </x:c>
      <x:c r="G64" s="15" t="n">
        <x:v>1</x:v>
      </x:c>
    </x:row>
    <x:row r="65" ht="23" customHeight="1">
      <x:c r="A65" s="10" t="n">
        <x:v>2023</x:v>
      </x:c>
      <x:c r="B65" s="2" t="str">
        <x:v>煤炭</x:v>
      </x:c>
      <x:c r="C65" s="15" t="n">
        <x:v>0.5479999999999999</x:v>
      </x:c>
      <x:c r="D65" s="16" t="n">
        <x:v>571327</x:v>
      </x:c>
      <x:c r="E65" s="16" t="n">
        <x:f>C65*D65</x:f>
        <x:v>313087.19599999994</x:v>
      </x:c>
      <x:c r="F65" s="17" t="n">
        <x:v>-0.8000000000000043</x:v>
      </x:c>
      <x:c r="G65" s="15" t="n">
        <x:v>1</x:v>
      </x:c>
    </x:row>
    <x:row r="66" ht="23" customHeight="1">
      <x:c r="A66" s="10" t="n">
        <x:v>2023</x:v>
      </x:c>
      <x:c r="B66" s="2" t="str">
        <x:v>石油</x:v>
      </x:c>
      <x:c r="C66" s="15" t="n">
        <x:v>0.188</x:v>
      </x:c>
      <x:c r="D66" s="16" t="n">
        <x:v>571327</x:v>
      </x:c>
      <x:c r="E66" s="16" t="n">
        <x:f>C66*D66</x:f>
        <x:v>107409.476</x:v>
      </x:c>
      <x:c r="F66" s="17" t="n">
        <x:v>0.40000000000000213</x:v>
      </x:c>
      <x:c r="G66" s="15" t="n">
        <x:v>1</x:v>
      </x:c>
    </x:row>
    <x:row r="67" ht="23" customHeight="1">
      <x:c r="A67" s="10" t="n">
        <x:v>2023</x:v>
      </x:c>
      <x:c r="B67" s="2" t="str">
        <x:v>天然气</x:v>
      </x:c>
      <x:c r="C67" s="15" t="n">
        <x:v>0.085</x:v>
      </x:c>
      <x:c r="D67" s="16" t="n">
        <x:v>571327</x:v>
      </x:c>
      <x:c r="E67" s="16" t="n">
        <x:f>C67*D67</x:f>
        <x:v>48562.795000000006</x:v>
      </x:c>
      <x:c r="F67" s="17" t="n">
        <x:v>0.09999999999999964</x:v>
      </x:c>
      <x:c r="G67" s="15" t="n">
        <x:v>1</x:v>
      </x:c>
    </x:row>
    <x:row r="68" ht="23" customHeight="1">
      <x:c r="A68" s="10" t="n">
        <x:v>2023</x:v>
      </x:c>
      <x:c r="B68" s="2" t="str">
        <x:v>一次电力及其他能源</x:v>
      </x:c>
      <x:c r="C68" s="15" t="n">
        <x:v>0.179</x:v>
      </x:c>
      <x:c r="D68" s="16" t="n">
        <x:v>571327</x:v>
      </x:c>
      <x:c r="E68" s="16" t="n">
        <x:f>C68*D68</x:f>
        <x:v>102267.533</x:v>
      </x:c>
      <x:c r="F68" s="17" t="n">
        <x:v>0.29999999999999716</x:v>
      </x:c>
      <x:c r="G68" s="15" t="n">
        <x:v>1</x:v>
      </x:c>
    </x:row>
    <x:row r="69" ht="23" customHeight="1">
      <x:c r="A69" s="10" t="n">
        <x:v>2024</x:v>
      </x:c>
      <x:c r="B69" s="2" t="str">
        <x:v>煤炭</x:v>
      </x:c>
      <x:c r="C69" s="15" t="n">
        <x:v>0.532</x:v>
      </x:c>
      <x:c r="D69" s="16" t="n">
        <x:v>596175</x:v>
      </x:c>
      <x:c r="E69" s="16" t="n">
        <x:f>C69*D69</x:f>
        <x:v>317165.10000000003</x:v>
      </x:c>
      <x:c r="F69" s="17" t="n">
        <x:v>-1.5999999999999943</x:v>
      </x:c>
      <x:c r="G69" s="15" t="n">
        <x:v>1</x:v>
      </x:c>
    </x:row>
    <x:row r="70" ht="23" customHeight="1">
      <x:c r="A70" s="10" t="n">
        <x:v>2024</x:v>
      </x:c>
      <x:c r="B70" s="2" t="str">
        <x:v>石油</x:v>
      </x:c>
      <x:c r="C70" s="15" t="n">
        <x:v>0.182</x:v>
      </x:c>
      <x:c r="D70" s="16" t="n">
        <x:v>596175</x:v>
      </x:c>
      <x:c r="E70" s="16" t="n">
        <x:f>C70*D70</x:f>
        <x:v>108503.84999999999</x:v>
      </x:c>
      <x:c r="F70" s="17" t="n">
        <x:v>-0.6000000000000014</x:v>
      </x:c>
      <x:c r="G70" s="15" t="n">
        <x:v>1</x:v>
      </x:c>
    </x:row>
    <x:row r="71" ht="23" customHeight="1">
      <x:c r="A71" s="10" t="n">
        <x:v>2024</x:v>
      </x:c>
      <x:c r="B71" s="2" t="str">
        <x:v>天然气</x:v>
      </x:c>
      <x:c r="C71" s="15" t="n">
        <x:v>0.08800000000000001</x:v>
      </x:c>
      <x:c r="D71" s="16" t="n">
        <x:v>596175</x:v>
      </x:c>
      <x:c r="E71" s="16" t="n">
        <x:f>C71*D71</x:f>
        <x:v>52463.40000000001</x:v>
      </x:c>
      <x:c r="F71" s="17" t="n">
        <x:v>0.3000000000000007</x:v>
      </x:c>
      <x:c r="G71" s="15" t="n">
        <x:v>1</x:v>
      </x:c>
    </x:row>
    <x:row r="72" ht="23" customHeight="1">
      <x:c r="A72" s="10" t="n">
        <x:v>2024</x:v>
      </x:c>
      <x:c r="B72" s="2" t="str">
        <x:v>一次电力及其他能源</x:v>
      </x:c>
      <x:c r="C72" s="15" t="n">
        <x:v>0.198</x:v>
      </x:c>
      <x:c r="D72" s="16" t="n">
        <x:v>596175</x:v>
      </x:c>
      <x:c r="E72" s="16" t="n">
        <x:f>C72*D72</x:f>
        <x:v>118042.65000000001</x:v>
      </x:c>
      <x:c r="F72" s="17" t="n">
        <x:v>1.9000000000000021</x:v>
      </x:c>
      <x:c r="G72" s="15" t="n">
        <x:v>1</x:v>
      </x:c>
    </x:row>
    <x:row r="73" ht="23" customHeight="1">
      <x:c r="A73" s="10" t="n">
        <x:v>2025</x:v>
      </x:c>
      <x:c r="B73" s="2" t="str">
        <x:v>煤炭</x:v>
      </x:c>
      <x:c r="C73" s="15" t="n">
        <x:v>0.514</x:v>
      </x:c>
      <x:c r="D73" s="16" t="n">
        <x:v>617000</x:v>
      </x:c>
      <x:c r="E73" s="16" t="n">
        <x:f>C73*D73</x:f>
        <x:v>317138</x:v>
      </x:c>
      <x:c r="F73" s="17" t="n">
        <x:v>-1.8000000000000043</x:v>
      </x:c>
      <x:c r="G73" s="15" t="n">
        <x:v>1</x:v>
      </x:c>
    </x:row>
    <x:row r="74" ht="23" customHeight="1">
      <x:c r="A74" s="10" t="n">
        <x:v>2025</x:v>
      </x:c>
      <x:c r="B74" s="2" t="str">
        <x:v>石油</x:v>
      </x:c>
      <x:c r="C74" s="15" t="n">
        <x:v>0.182</x:v>
      </x:c>
      <x:c r="D74" s="16" t="n">
        <x:v>617000</x:v>
      </x:c>
      <x:c r="E74" s="16" t="n">
        <x:f>C74*D74</x:f>
        <x:v>112294</x:v>
      </x:c>
      <x:c r="F74" s="17" t="n">
        <x:v>0</x:v>
      </x:c>
      <x:c r="G74" s="15" t="n">
        <x:v>1</x:v>
      </x:c>
    </x:row>
    <x:row r="75" ht="23" customHeight="1">
      <x:c r="A75" s="10" t="n">
        <x:v>2025</x:v>
      </x:c>
      <x:c r="B75" s="2" t="str">
        <x:v>天然气</x:v>
      </x:c>
      <x:c r="C75" s="15" t="n">
        <x:v>0.087</x:v>
      </x:c>
      <x:c r="D75" s="16" t="n">
        <x:v>617000</x:v>
      </x:c>
      <x:c r="E75" s="16" t="n">
        <x:f>C75*D75</x:f>
        <x:v>53678.99999999999</x:v>
      </x:c>
      <x:c r="F75" s="17" t="n">
        <x:v>-0.10000000000000142</x:v>
      </x:c>
      <x:c r="G75" s="15" t="n">
        <x:v>1</x:v>
      </x:c>
    </x:row>
    <x:row r="76" ht="23" customHeight="1">
      <x:c r="A76" s="10" t="n">
        <x:v>2025</x:v>
      </x:c>
      <x:c r="B76" s="2" t="str">
        <x:v>一次电力及其他能源</x:v>
      </x:c>
      <x:c r="C76" s="15" t="n">
        <x:v>0.217</x:v>
      </x:c>
      <x:c r="D76" s="16" t="n">
        <x:v>617000</x:v>
      </x:c>
      <x:c r="E76" s="16" t="n">
        <x:f>C76*D76</x:f>
        <x:v>133889</x:v>
      </x:c>
      <x:c r="F76" s="17" t="n">
        <x:v>1.8999999999999986</x:v>
      </x:c>
      <x:c r="G76" s="1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3" hidden="0" customWidth="1"/>
    <x:col min="4" max="4" width="76" hidden="0" customWidth="1"/>
    <x:col min="5" max="5" width="32" hidden="0" customWidth="1"/>
    <x:col min="6" max="6" width="18" hidden="0" customWidth="1"/>
  </x:cols>
  <x:sheetData>
    <x:row r="1" ht="23" customHeight="1">
      <x:c r="A1" s="3" t="str">
        <x:v>指标字典</x:v>
      </x:c>
      <x:c r="B1" s="2"/>
      <x:c r="C1" s="2"/>
      <x:c r="D1" s="2"/>
      <x:c r="E1" s="2"/>
      <x:c r="F1" s="2"/>
    </x:row>
    <x:row r="2" ht="23" customHeight="1">
      <x:c r="A2" s="4" t="str">
        <x:v>字段名用于 CSV 与 Python；原始指标 ID、定义与官方注释完整保存在 indicator_dictionary.csv。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34" customHeight="1">
      <x:c r="A4" s="8" t="str">
        <x:v>字段名</x:v>
      </x:c>
      <x:c r="B4" s="8" t="str">
        <x:v>指标名称</x:v>
      </x:c>
      <x:c r="C4" s="8" t="str">
        <x:v>单位</x:v>
      </x:c>
      <x:c r="D4" s="8" t="str">
        <x:v>取值或计算方法</x:v>
      </x:c>
      <x:c r="E4" s="8" t="str">
        <x:v>来源组</x:v>
      </x:c>
      <x:c r="F4" s="8" t="str">
        <x:v>看板核心字段</x:v>
      </x:c>
    </x:row>
    <x:row r="5" ht="44" customHeight="1">
      <x:c r="A5" s="18" t="str">
        <x:v>extra_08ae61c4</x:v>
      </x:c>
      <x:c r="B5" s="18" t="str">
        <x:v>能源生产弹性系数 (-)</x:v>
      </x:c>
      <x:c r="C5" s="18" t="str">
        <x:v>无</x:v>
      </x:c>
      <x:c r="D5" s="18" t="str">
        <x:v>官方原值</x:v>
      </x:c>
      <x:c r="E5" s="18" t="str">
        <x:v>energy_elasticity</x:v>
      </x:c>
      <x:c r="F5" s="18" t="str">
        <x:v>否</x:v>
      </x:c>
    </x:row>
    <x:row r="6" ht="44" customHeight="1">
      <x:c r="A6" s="18" t="str">
        <x:v>extra_b72363d6</x:v>
      </x:c>
      <x:c r="B6" s="18" t="str">
        <x:v>电力生产弹性系数 (-)</x:v>
      </x:c>
      <x:c r="C6" s="18" t="str">
        <x:v>无</x:v>
      </x:c>
      <x:c r="D6" s="18" t="str">
        <x:v>官方原值</x:v>
      </x:c>
      <x:c r="E6" s="18" t="str">
        <x:v>energy_elasticity</x:v>
      </x:c>
      <x:c r="F6" s="18" t="str">
        <x:v>否</x:v>
      </x:c>
    </x:row>
    <x:row r="7" ht="44" customHeight="1">
      <x:c r="A7" s="18" t="str">
        <x:v>extra_314b5436</x:v>
      </x:c>
      <x:c r="B7" s="18" t="str">
        <x:v>能源消费弹性系数 (-)</x:v>
      </x:c>
      <x:c r="C7" s="18" t="str">
        <x:v>无</x:v>
      </x:c>
      <x:c r="D7" s="18" t="str">
        <x:v>官方原值</x:v>
      </x:c>
      <x:c r="E7" s="18" t="str">
        <x:v>energy_elasticity</x:v>
      </x:c>
      <x:c r="F7" s="18" t="str">
        <x:v>否</x:v>
      </x:c>
    </x:row>
    <x:row r="8" ht="44" customHeight="1">
      <x:c r="A8" s="18" t="str">
        <x:v>extra_7d4847a4</x:v>
      </x:c>
      <x:c r="B8" s="18" t="str">
        <x:v>电力消费弹性系数 (-)</x:v>
      </x:c>
      <x:c r="C8" s="18" t="str">
        <x:v>无</x:v>
      </x:c>
      <x:c r="D8" s="18" t="str">
        <x:v>官方原值</x:v>
      </x:c>
      <x:c r="E8" s="18" t="str">
        <x:v>energy_elasticity</x:v>
      </x:c>
      <x:c r="F8" s="18" t="str">
        <x:v>否</x:v>
      </x:c>
    </x:row>
    <x:row r="9" ht="44" customHeight="1">
      <x:c r="A9" s="18" t="str">
        <x:v>living_energy_per_capita</x:v>
      </x:c>
      <x:c r="B9" s="18" t="str">
        <x:v>人均生活能源消费量 (千克标准煤)</x:v>
      </x:c>
      <x:c r="C9" s="18" t="str">
        <x:v>千克标准煤／人</x:v>
      </x:c>
      <x:c r="D9" s="18" t="str">
        <x:v>官方原值</x:v>
      </x:c>
      <x:c r="E9" s="18" t="str">
        <x:v>energy_living_per_capita</x:v>
      </x:c>
      <x:c r="F9" s="18" t="str">
        <x:v>是</x:v>
      </x:c>
    </x:row>
    <x:row r="10" ht="44" customHeight="1">
      <x:c r="A10" s="18" t="str">
        <x:v>extra_9fff05ca</x:v>
      </x:c>
      <x:c r="B10" s="18" t="str">
        <x:v>人均煤炭生活消费量 (千克)</x:v>
      </x:c>
      <x:c r="C10" s="18" t="str">
        <x:v>千克</x:v>
      </x:c>
      <x:c r="D10" s="18" t="str">
        <x:v>官方原值</x:v>
      </x:c>
      <x:c r="E10" s="18" t="str">
        <x:v>energy_living_per_capita</x:v>
      </x:c>
      <x:c r="F10" s="18" t="str">
        <x:v>否</x:v>
      </x:c>
    </x:row>
    <x:row r="11" ht="44" customHeight="1">
      <x:c r="A11" s="18" t="str">
        <x:v>living_electricity_per_capita</x:v>
      </x:c>
      <x:c r="B11" s="18" t="str">
        <x:v>人均电力生活消费量 (千瓦小时)</x:v>
      </x:c>
      <x:c r="C11" s="18" t="str">
        <x:v>千瓦时</x:v>
      </x:c>
      <x:c r="D11" s="18" t="str">
        <x:v>官方原值</x:v>
      </x:c>
      <x:c r="E11" s="18" t="str">
        <x:v>energy_living_per_capita</x:v>
      </x:c>
      <x:c r="F11" s="18" t="str">
        <x:v>否</x:v>
      </x:c>
    </x:row>
    <x:row r="12" ht="44" customHeight="1">
      <x:c r="A12" s="18" t="str">
        <x:v>extra_f101af2b</x:v>
      </x:c>
      <x:c r="B12" s="18" t="str">
        <x:v>人均煤油生活消费量 (千克)</x:v>
      </x:c>
      <x:c r="C12" s="18" t="str">
        <x:v>千克</x:v>
      </x:c>
      <x:c r="D12" s="18" t="str">
        <x:v>官方原值</x:v>
      </x:c>
      <x:c r="E12" s="18" t="str">
        <x:v>energy_living_per_capita</x:v>
      </x:c>
      <x:c r="F12" s="18" t="str">
        <x:v>否</x:v>
      </x:c>
    </x:row>
    <x:row r="13" ht="44" customHeight="1">
      <x:c r="A13" s="18" t="str">
        <x:v>extra_b2b941e7</x:v>
      </x:c>
      <x:c r="B13" s="18" t="str">
        <x:v>人均液化石油气生活消费量 (千克)</x:v>
      </x:c>
      <x:c r="C13" s="18" t="str">
        <x:v>千克</x:v>
      </x:c>
      <x:c r="D13" s="18" t="str">
        <x:v>官方原值</x:v>
      </x:c>
      <x:c r="E13" s="18" t="str">
        <x:v>energy_living_per_capita</x:v>
      </x:c>
      <x:c r="F13" s="18" t="str">
        <x:v>否</x:v>
      </x:c>
    </x:row>
    <x:row r="14" ht="44" customHeight="1">
      <x:c r="A14" s="18" t="str">
        <x:v>extra_ac147c09</x:v>
      </x:c>
      <x:c r="B14" s="18" t="str">
        <x:v>人均天然气生活消费量 (立方米)</x:v>
      </x:c>
      <x:c r="C14" s="18" t="str">
        <x:v>立方米</x:v>
      </x:c>
      <x:c r="D14" s="18" t="str">
        <x:v>官方原值</x:v>
      </x:c>
      <x:c r="E14" s="18" t="str">
        <x:v>energy_living_per_capita</x:v>
      </x:c>
      <x:c r="F14" s="18" t="str">
        <x:v>否</x:v>
      </x:c>
    </x:row>
    <x:row r="15" ht="44" customHeight="1">
      <x:c r="A15" s="18" t="str">
        <x:v>extra_3ffdee03</x:v>
      </x:c>
      <x:c r="B15" s="18" t="str">
        <x:v>人均煤气生活消费量 (立方米)</x:v>
      </x:c>
      <x:c r="C15" s="18" t="str">
        <x:v>立方米</x:v>
      </x:c>
      <x:c r="D15" s="18" t="str">
        <x:v>官方原值</x:v>
      </x:c>
      <x:c r="E15" s="18" t="str">
        <x:v>energy_living_per_capita</x:v>
      </x:c>
      <x:c r="F15" s="18" t="str">
        <x:v>否</x:v>
      </x:c>
    </x:row>
    <x:row r="16" ht="44" customHeight="1">
      <x:c r="A16" s="18" t="str">
        <x:v>energy_total</x:v>
      </x:c>
      <x:c r="B16" s="18" t="str">
        <x:v>能源消费总量 (万吨标准煤)</x:v>
      </x:c>
      <x:c r="C16" s="18" t="str">
        <x:v>万吨标准煤</x:v>
      </x:c>
      <x:c r="D16" s="18" t="str">
        <x:v>官方原值</x:v>
      </x:c>
      <x:c r="E16" s="18" t="str">
        <x:v>energy_total</x:v>
      </x:c>
      <x:c r="F16" s="18" t="str">
        <x:v>是</x:v>
      </x:c>
    </x:row>
    <x:row r="17" ht="44" customHeight="1">
      <x:c r="A17" s="18" t="str">
        <x:v>share_coal</x:v>
      </x:c>
      <x:c r="B17" s="18" t="str">
        <x:v>煤炭占能源消费总量的比重 (%)</x:v>
      </x:c>
      <x:c r="C17" s="18" t="str">
        <x:v>%</x:v>
      </x:c>
      <x:c r="D17" s="18" t="str">
        <x:v>官方原值</x:v>
      </x:c>
      <x:c r="E17" s="18" t="str">
        <x:v>energy_total</x:v>
      </x:c>
      <x:c r="F17" s="18" t="str">
        <x:v>是</x:v>
      </x:c>
    </x:row>
    <x:row r="18" ht="44" customHeight="1">
      <x:c r="A18" s="18" t="str">
        <x:v>share_oil</x:v>
      </x:c>
      <x:c r="B18" s="18" t="str">
        <x:v>石油占能源消费总量的比重 (%)</x:v>
      </x:c>
      <x:c r="C18" s="18" t="str">
        <x:v>%</x:v>
      </x:c>
      <x:c r="D18" s="18" t="str">
        <x:v>官方原值</x:v>
      </x:c>
      <x:c r="E18" s="18" t="str">
        <x:v>energy_total</x:v>
      </x:c>
      <x:c r="F18" s="18" t="str">
        <x:v>是</x:v>
      </x:c>
    </x:row>
    <x:row r="19" ht="44" customHeight="1">
      <x:c r="A19" s="18" t="str">
        <x:v>share_gas</x:v>
      </x:c>
      <x:c r="B19" s="18" t="str">
        <x:v>天然气占能源消费总量的比重 (%)</x:v>
      </x:c>
      <x:c r="C19" s="18" t="str">
        <x:v>%</x:v>
      </x:c>
      <x:c r="D19" s="18" t="str">
        <x:v>官方原值</x:v>
      </x:c>
      <x:c r="E19" s="18" t="str">
        <x:v>energy_total</x:v>
      </x:c>
      <x:c r="F19" s="18" t="str">
        <x:v>是</x:v>
      </x:c>
    </x:row>
    <x:row r="20" ht="44" customHeight="1">
      <x:c r="A20" s="18" t="str">
        <x:v>share_primary_electricity_other</x:v>
      </x:c>
      <x:c r="B20" s="18" t="str">
        <x:v>一次电力及其他能源占能源总量的比重 (%)</x:v>
      </x:c>
      <x:c r="C20" s="18" t="str">
        <x:v>%</x:v>
      </x:c>
      <x:c r="D20" s="18" t="str">
        <x:v>官方原值</x:v>
      </x:c>
      <x:c r="E20" s="18" t="str">
        <x:v>energy_total</x:v>
      </x:c>
      <x:c r="F20" s="18" t="str">
        <x:v>是</x:v>
      </x:c>
    </x:row>
    <x:row r="21" ht="44" customHeight="1">
      <x:c r="A21" s="18" t="str">
        <x:v>extra_b50c29bb</x:v>
      </x:c>
      <x:c r="B21" s="18" t="str">
        <x:v>煤炭消费量 (万吨)</x:v>
      </x:c>
      <x:c r="C21" s="18" t="str">
        <x:v>万吨</x:v>
      </x:c>
      <x:c r="D21" s="18" t="str">
        <x:v>官方原值</x:v>
      </x:c>
      <x:c r="E21" s="18" t="str">
        <x:v>energy_total</x:v>
      </x:c>
      <x:c r="F21" s="18" t="str">
        <x:v>否</x:v>
      </x:c>
    </x:row>
    <x:row r="22" ht="44" customHeight="1">
      <x:c r="A22" s="18" t="str">
        <x:v>extra_892f8391</x:v>
      </x:c>
      <x:c r="B22" s="18" t="str">
        <x:v>焦炭消费量 (万吨)</x:v>
      </x:c>
      <x:c r="C22" s="18" t="str">
        <x:v>万吨</x:v>
      </x:c>
      <x:c r="D22" s="18" t="str">
        <x:v>官方原值</x:v>
      </x:c>
      <x:c r="E22" s="18" t="str">
        <x:v>energy_total</x:v>
      </x:c>
      <x:c r="F22" s="18" t="str">
        <x:v>否</x:v>
      </x:c>
    </x:row>
    <x:row r="23" ht="44" customHeight="1">
      <x:c r="A23" s="18" t="str">
        <x:v>extra_55352a04</x:v>
      </x:c>
      <x:c r="B23" s="18" t="str">
        <x:v>原油消费量 (万吨)</x:v>
      </x:c>
      <x:c r="C23" s="18" t="str">
        <x:v>万吨</x:v>
      </x:c>
      <x:c r="D23" s="18" t="str">
        <x:v>官方原值</x:v>
      </x:c>
      <x:c r="E23" s="18" t="str">
        <x:v>energy_total</x:v>
      </x:c>
      <x:c r="F23" s="18" t="str">
        <x:v>否</x:v>
      </x:c>
    </x:row>
    <x:row r="24" ht="44" customHeight="1">
      <x:c r="A24" s="18" t="str">
        <x:v>extra_27e686ed</x:v>
      </x:c>
      <x:c r="B24" s="18" t="str">
        <x:v>汽油消费量 (万吨)</x:v>
      </x:c>
      <x:c r="C24" s="18" t="str">
        <x:v>万吨</x:v>
      </x:c>
      <x:c r="D24" s="18" t="str">
        <x:v>官方原值</x:v>
      </x:c>
      <x:c r="E24" s="18" t="str">
        <x:v>energy_total</x:v>
      </x:c>
      <x:c r="F24" s="18" t="str">
        <x:v>否</x:v>
      </x:c>
    </x:row>
    <x:row r="25" ht="44" customHeight="1">
      <x:c r="A25" s="18" t="str">
        <x:v>extra_c9e1bf4f</x:v>
      </x:c>
      <x:c r="B25" s="18" t="str">
        <x:v>煤油消费量 (万吨)</x:v>
      </x:c>
      <x:c r="C25" s="18" t="str">
        <x:v>万吨</x:v>
      </x:c>
      <x:c r="D25" s="18" t="str">
        <x:v>官方原值</x:v>
      </x:c>
      <x:c r="E25" s="18" t="str">
        <x:v>energy_total</x:v>
      </x:c>
      <x:c r="F25" s="18" t="str">
        <x:v>否</x:v>
      </x:c>
    </x:row>
    <x:row r="26" ht="44" customHeight="1">
      <x:c r="A26" s="18" t="str">
        <x:v>extra_887326ed</x:v>
      </x:c>
      <x:c r="B26" s="18" t="str">
        <x:v>柴油消费量 (万吨)</x:v>
      </x:c>
      <x:c r="C26" s="18" t="str">
        <x:v>万吨</x:v>
      </x:c>
      <x:c r="D26" s="18" t="str">
        <x:v>官方原值</x:v>
      </x:c>
      <x:c r="E26" s="18" t="str">
        <x:v>energy_total</x:v>
      </x:c>
      <x:c r="F26" s="18" t="str">
        <x:v>否</x:v>
      </x:c>
    </x:row>
    <x:row r="27" ht="44" customHeight="1">
      <x:c r="A27" s="18" t="str">
        <x:v>extra_c9713795</x:v>
      </x:c>
      <x:c r="B27" s="18" t="str">
        <x:v>燃料油消费量 (万吨)</x:v>
      </x:c>
      <x:c r="C27" s="18" t="str">
        <x:v>万吨</x:v>
      </x:c>
      <x:c r="D27" s="18" t="str">
        <x:v>官方原值</x:v>
      </x:c>
      <x:c r="E27" s="18" t="str">
        <x:v>energy_total</x:v>
      </x:c>
      <x:c r="F27" s="18" t="str">
        <x:v>否</x:v>
      </x:c>
    </x:row>
    <x:row r="28" ht="44" customHeight="1">
      <x:c r="A28" s="18" t="str">
        <x:v>extra_5b74de1b</x:v>
      </x:c>
      <x:c r="B28" s="18" t="str">
        <x:v>天然气消费量 (亿立方米)</x:v>
      </x:c>
      <x:c r="C28" s="18" t="str">
        <x:v>亿立方米</x:v>
      </x:c>
      <x:c r="D28" s="18" t="str">
        <x:v>官方原值</x:v>
      </x:c>
      <x:c r="E28" s="18" t="str">
        <x:v>energy_total</x:v>
      </x:c>
      <x:c r="F28" s="18" t="str">
        <x:v>否</x:v>
      </x:c>
    </x:row>
    <x:row r="29" ht="44" customHeight="1">
      <x:c r="A29" s="18" t="str">
        <x:v>extra_4215e0c1</x:v>
      </x:c>
      <x:c r="B29" s="18" t="str">
        <x:v>电力消费量 (亿千瓦小时)</x:v>
      </x:c>
      <x:c r="C29" s="18" t="str">
        <x:v>亿千瓦时</x:v>
      </x:c>
      <x:c r="D29" s="18" t="str">
        <x:v>官方原值</x:v>
      </x:c>
      <x:c r="E29" s="18" t="str">
        <x:v>energy_total</x:v>
      </x:c>
      <x:c r="F29" s="18" t="str">
        <x:v>否</x:v>
      </x:c>
    </x:row>
    <x:row r="30" ht="44" customHeight="1">
      <x:c r="A30" s="18" t="str">
        <x:v>population_age_total</x:v>
      </x:c>
      <x:c r="B30" s="18" t="str">
        <x:v>年末总人口 (万人)</x:v>
      </x:c>
      <x:c r="C30" s="18" t="str">
        <x:v>万人</x:v>
      </x:c>
      <x:c r="D30" s="18" t="str">
        <x:v>官方原值</x:v>
      </x:c>
      <x:c r="E30" s="18" t="str">
        <x:v>population_age</x:v>
      </x:c>
      <x:c r="F30" s="18" t="str">
        <x:v>否</x:v>
      </x:c>
    </x:row>
    <x:row r="31" ht="44" customHeight="1">
      <x:c r="A31" s="18" t="str">
        <x:v>population_age_0_14</x:v>
      </x:c>
      <x:c r="B31" s="18" t="str">
        <x:v>0-14岁人口 (万人)</x:v>
      </x:c>
      <x:c r="C31" s="18" t="str">
        <x:v>万人</x:v>
      </x:c>
      <x:c r="D31" s="18" t="str">
        <x:v>官方原值</x:v>
      </x:c>
      <x:c r="E31" s="18" t="str">
        <x:v>population_age</x:v>
      </x:c>
      <x:c r="F31" s="18" t="str">
        <x:v>是</x:v>
      </x:c>
    </x:row>
    <x:row r="32" ht="44" customHeight="1">
      <x:c r="A32" s="18" t="str">
        <x:v>population_age_15_64</x:v>
      </x:c>
      <x:c r="B32" s="18" t="str">
        <x:v>15-64岁人口 (万人)</x:v>
      </x:c>
      <x:c r="C32" s="18" t="str">
        <x:v>万人</x:v>
      </x:c>
      <x:c r="D32" s="18" t="str">
        <x:v>官方原值</x:v>
      </x:c>
      <x:c r="E32" s="18" t="str">
        <x:v>population_age</x:v>
      </x:c>
      <x:c r="F32" s="18" t="str">
        <x:v>是</x:v>
      </x:c>
    </x:row>
    <x:row r="33" ht="44" customHeight="1">
      <x:c r="A33" s="18" t="str">
        <x:v>population_age_65_plus</x:v>
      </x:c>
      <x:c r="B33" s="18" t="str">
        <x:v>65岁及以上人口 (万人)</x:v>
      </x:c>
      <x:c r="C33" s="18" t="str">
        <x:v>万人</x:v>
      </x:c>
      <x:c r="D33" s="18" t="str">
        <x:v>官方原值</x:v>
      </x:c>
      <x:c r="E33" s="18" t="str">
        <x:v>population_age</x:v>
      </x:c>
      <x:c r="F33" s="18" t="str">
        <x:v>是</x:v>
      </x:c>
    </x:row>
    <x:row r="34" ht="44" customHeight="1">
      <x:c r="A34" s="18" t="str">
        <x:v>dependency_total</x:v>
      </x:c>
      <x:c r="B34" s="18" t="str">
        <x:v>总抚养比 (%)</x:v>
      </x:c>
      <x:c r="C34" s="18" t="str">
        <x:v>%</x:v>
      </x:c>
      <x:c r="D34" s="18" t="str">
        <x:v>官方原值</x:v>
      </x:c>
      <x:c r="E34" s="18" t="str">
        <x:v>population_age</x:v>
      </x:c>
      <x:c r="F34" s="18" t="str">
        <x:v>否</x:v>
      </x:c>
    </x:row>
    <x:row r="35" ht="44" customHeight="1">
      <x:c r="A35" s="18" t="str">
        <x:v>dependency_child</x:v>
      </x:c>
      <x:c r="B35" s="18" t="str">
        <x:v>少儿抚养比 (%)</x:v>
      </x:c>
      <x:c r="C35" s="18" t="str">
        <x:v>%</x:v>
      </x:c>
      <x:c r="D35" s="18" t="str">
        <x:v>官方原值</x:v>
      </x:c>
      <x:c r="E35" s="18" t="str">
        <x:v>population_age</x:v>
      </x:c>
      <x:c r="F35" s="18" t="str">
        <x:v>否</x:v>
      </x:c>
    </x:row>
    <x:row r="36" ht="44" customHeight="1">
      <x:c r="A36" s="18" t="str">
        <x:v>dependency_old</x:v>
      </x:c>
      <x:c r="B36" s="18" t="str">
        <x:v>老年抚养比 (%)</x:v>
      </x:c>
      <x:c r="C36" s="18" t="str">
        <x:v>%</x:v>
      </x:c>
      <x:c r="D36" s="18" t="str">
        <x:v>官方原值</x:v>
      </x:c>
      <x:c r="E36" s="18" t="str">
        <x:v>population_age</x:v>
      </x:c>
      <x:c r="F36" s="18" t="str">
        <x:v>否</x:v>
      </x:c>
    </x:row>
    <x:row r="37" ht="44" customHeight="1">
      <x:c r="A37" s="18" t="str">
        <x:v>birth_rate</x:v>
      </x:c>
      <x:c r="B37" s="18" t="str">
        <x:v>人口出生率 (‰)</x:v>
      </x:c>
      <x:c r="C37" s="18" t="str">
        <x:v>‰</x:v>
      </x:c>
      <x:c r="D37" s="18" t="str">
        <x:v>官方原值</x:v>
      </x:c>
      <x:c r="E37" s="18" t="str">
        <x:v>population_rates</x:v>
      </x:c>
      <x:c r="F37" s="18" t="str">
        <x:v>是</x:v>
      </x:c>
    </x:row>
    <x:row r="38" ht="44" customHeight="1">
      <x:c r="A38" s="18" t="str">
        <x:v>death_rate</x:v>
      </x:c>
      <x:c r="B38" s="18" t="str">
        <x:v>人口死亡率 (‰)</x:v>
      </x:c>
      <x:c r="C38" s="18" t="str">
        <x:v>‰</x:v>
      </x:c>
      <x:c r="D38" s="18" t="str">
        <x:v>官方原值</x:v>
      </x:c>
      <x:c r="E38" s="18" t="str">
        <x:v>population_rates</x:v>
      </x:c>
      <x:c r="F38" s="18" t="str">
        <x:v>是</x:v>
      </x:c>
    </x:row>
    <x:row r="39" ht="44" customHeight="1">
      <x:c r="A39" s="18" t="str">
        <x:v>natural_growth_rate</x:v>
      </x:c>
      <x:c r="B39" s="18" t="str">
        <x:v>人口自然增长率 (‰)</x:v>
      </x:c>
      <x:c r="C39" s="18" t="str">
        <x:v>‰</x:v>
      </x:c>
      <x:c r="D39" s="18" t="str">
        <x:v>官方原值</x:v>
      </x:c>
      <x:c r="E39" s="18" t="str">
        <x:v>population_rates</x:v>
      </x:c>
      <x:c r="F39" s="18" t="str">
        <x:v>是</x:v>
      </x:c>
    </x:row>
    <x:row r="40" ht="44" customHeight="1">
      <x:c r="A40" s="18" t="str">
        <x:v>population_total</x:v>
      </x:c>
      <x:c r="B40" s="18" t="str">
        <x:v>年末总人口 (万人)</x:v>
      </x:c>
      <x:c r="C40" s="18" t="str">
        <x:v>万人</x:v>
      </x:c>
      <x:c r="D40" s="18" t="str">
        <x:v>官方原值</x:v>
      </x:c>
      <x:c r="E40" s="18" t="str">
        <x:v>population_total</x:v>
      </x:c>
      <x:c r="F40" s="18" t="str">
        <x:v>是</x:v>
      </x:c>
    </x:row>
    <x:row r="41" ht="44" customHeight="1">
      <x:c r="A41" s="18" t="str">
        <x:v>population_male</x:v>
      </x:c>
      <x:c r="B41" s="18" t="str">
        <x:v>男性人口 (万人)</x:v>
      </x:c>
      <x:c r="C41" s="18" t="str">
        <x:v>万人</x:v>
      </x:c>
      <x:c r="D41" s="18" t="str">
        <x:v>官方原值</x:v>
      </x:c>
      <x:c r="E41" s="18" t="str">
        <x:v>population_total</x:v>
      </x:c>
      <x:c r="F41" s="18" t="str">
        <x:v>否</x:v>
      </x:c>
    </x:row>
    <x:row r="42" ht="44" customHeight="1">
      <x:c r="A42" s="18" t="str">
        <x:v>population_female</x:v>
      </x:c>
      <x:c r="B42" s="18" t="str">
        <x:v>女性人口 (万人)</x:v>
      </x:c>
      <x:c r="C42" s="18" t="str">
        <x:v>万人</x:v>
      </x:c>
      <x:c r="D42" s="18" t="str">
        <x:v>官方原值</x:v>
      </x:c>
      <x:c r="E42" s="18" t="str">
        <x:v>population_total</x:v>
      </x:c>
      <x:c r="F42" s="18" t="str">
        <x:v>否</x:v>
      </x:c>
    </x:row>
    <x:row r="43" ht="44" customHeight="1">
      <x:c r="A43" s="18" t="str">
        <x:v>population_urban</x:v>
      </x:c>
      <x:c r="B43" s="18" t="str">
        <x:v>城镇人口 (万人)</x:v>
      </x:c>
      <x:c r="C43" s="18" t="str">
        <x:v>万人</x:v>
      </x:c>
      <x:c r="D43" s="18" t="str">
        <x:v>官方原值</x:v>
      </x:c>
      <x:c r="E43" s="18" t="str">
        <x:v>population_total</x:v>
      </x:c>
      <x:c r="F43" s="18" t="str">
        <x:v>是</x:v>
      </x:c>
    </x:row>
    <x:row r="44" ht="44" customHeight="1">
      <x:c r="A44" s="18" t="str">
        <x:v>population_rural</x:v>
      </x:c>
      <x:c r="B44" s="18" t="str">
        <x:v>乡村人口 (万人)</x:v>
      </x:c>
      <x:c r="C44" s="18" t="str">
        <x:v>万人</x:v>
      </x:c>
      <x:c r="D44" s="18" t="str">
        <x:v>官方原值</x:v>
      </x:c>
      <x:c r="E44" s="18" t="str">
        <x:v>population_total</x:v>
      </x:c>
      <x:c r="F44" s="18" t="str">
        <x:v>是</x:v>
      </x:c>
    </x:row>
    <x:row r="45" ht="44" customHeight="1">
      <x:c r="A45" s="18" t="str">
        <x:v>urbanization_pct</x:v>
      </x:c>
      <x:c r="B45" s="18" t="str">
        <x:v>城镇人口比重（计算值）</x:v>
      </x:c>
      <x:c r="C45" s="18" t="str">
        <x:v>%</x:v>
      </x:c>
      <x:c r="D45" s="18" t="str">
        <x:v>城镇人口÷年末总人口×100</x:v>
      </x:c>
      <x:c r="E45" s="18" t="str">
        <x:v>population_total</x:v>
      </x:c>
      <x:c r="F45" s="18" t="str">
        <x:v>否</x:v>
      </x:c>
    </x:row>
    <x:row r="46" ht="44" customHeight="1">
      <x:c r="A46" s="18" t="str">
        <x:v>population_change</x:v>
      </x:c>
      <x:c r="B46" s="18" t="str">
        <x:v>年末人口较上年增减</x:v>
      </x:c>
      <x:c r="C46" s="18" t="str">
        <x:v>万人</x:v>
      </x:c>
      <x:c r="D46" s="18" t="str">
        <x:v>本年年末人口−上年年末人口</x:v>
      </x:c>
      <x:c r="E46" s="18" t="str">
        <x:v>population_total</x:v>
      </x:c>
      <x:c r="F46" s="18" t="str">
        <x:v>否</x:v>
      </x:c>
    </x:row>
    <x:row r="47" ht="44" customHeight="1">
      <x:c r="A47" s="18" t="str">
        <x:v>age_share_0_14_pct</x:v>
      </x:c>
      <x:c r="B47" s="18" t="str">
        <x:v>0—14岁人口占比（计算值）</x:v>
      </x:c>
      <x:c r="C47" s="18" t="str">
        <x:v>%</x:v>
      </x:c>
      <x:c r="D47" s="18" t="str">
        <x:v>0—14岁人口÷年末总人口×100</x:v>
      </x:c>
      <x:c r="E47" s="18" t="str">
        <x:v>population_age</x:v>
      </x:c>
      <x:c r="F47" s="18" t="str">
        <x:v>否</x:v>
      </x:c>
    </x:row>
    <x:row r="48" ht="44" customHeight="1">
      <x:c r="A48" s="18" t="str">
        <x:v>age_share_15_64_pct</x:v>
      </x:c>
      <x:c r="B48" s="18" t="str">
        <x:v>15—64岁人口占比（计算值）</x:v>
      </x:c>
      <x:c r="C48" s="18" t="str">
        <x:v>%</x:v>
      </x:c>
      <x:c r="D48" s="18" t="str">
        <x:v>15—64岁人口÷年末总人口×100</x:v>
      </x:c>
      <x:c r="E48" s="18" t="str">
        <x:v>population_age</x:v>
      </x:c>
      <x:c r="F48" s="18" t="str">
        <x:v>否</x:v>
      </x:c>
    </x:row>
    <x:row r="49" ht="44" customHeight="1">
      <x:c r="A49" s="18" t="str">
        <x:v>age_share_65_plus_pct</x:v>
      </x:c>
      <x:c r="B49" s="18" t="str">
        <x:v>65岁及以上人口占比（计算值）</x:v>
      </x:c>
      <x:c r="C49" s="18" t="str">
        <x:v>%</x:v>
      </x:c>
      <x:c r="D49" s="18" t="str">
        <x:v>65岁及以上人口÷年末总人口×100</x:v>
      </x:c>
      <x:c r="E49" s="18" t="str">
        <x:v>population_age</x:v>
      </x:c>
      <x:c r="F49" s="18" t="str">
        <x:v>否</x:v>
      </x:c>
    </x:row>
    <x:row r="50" ht="44" customHeight="1">
      <x:c r="A50" s="18" t="str">
        <x:v>age_sum_difference</x:v>
      </x:c>
      <x:c r="B50" s="18" t="str">
        <x:v>年龄分组加总差额</x:v>
      </x:c>
      <x:c r="C50" s="18" t="str">
        <x:v>万人</x:v>
      </x:c>
      <x:c r="D50" s="18" t="str">
        <x:v>年龄三组合计−年末总人口</x:v>
      </x:c>
      <x:c r="E50" s="18" t="str">
        <x:v>population_age</x:v>
      </x:c>
      <x:c r="F50" s="18" t="str">
        <x:v>否</x:v>
      </x:c>
    </x:row>
    <x:row r="51" ht="44" customHeight="1">
      <x:c r="A51" s="18" t="str">
        <x:v>energy_yoy_calculated_pct</x:v>
      </x:c>
      <x:c r="B51" s="18" t="str">
        <x:v>能源总量较上年变化（序列计算）</x:v>
      </x:c>
      <x:c r="C51" s="18" t="str">
        <x:v>%</x:v>
      </x:c>
      <x:c r="D51" s="18" t="str">
        <x:v>(本年总量÷上年总量−1)×100；不等同官方可比增速</x:v>
      </x:c>
      <x:c r="E51" s="18" t="str">
        <x:v>energy_total</x:v>
      </x:c>
      <x:c r="F51" s="18" t="str">
        <x:v>否</x:v>
      </x:c>
    </x:row>
    <x:row r="52" ht="44" customHeight="1">
      <x:c r="A52" s="18" t="str">
        <x:v>energy_yoy_official_pct</x:v>
      </x:c>
      <x:c r="B52" s="18" t="str">
        <x:v>能源消费总量官方可比增速</x:v>
      </x:c>
      <x:c r="C52" s="18" t="str">
        <x:v>%</x:v>
      </x:c>
      <x:c r="D52" s="18" t="str">
        <x:v>本次所取指标未单列，留空；不得由弹性系数推断</x:v>
      </x:c>
      <x:c r="E52" s="18" t="str">
        <x:v>energy_total</x:v>
      </x:c>
      <x:c r="F52" s="18" t="str">
        <x:v>否</x:v>
      </x:c>
    </x:row>
    <x:row r="53" ht="44" customHeight="1">
      <x:c r="A53" s="18" t="str">
        <x:v>share_sum_pct</x:v>
      </x:c>
      <x:c r="B53" s="18" t="str">
        <x:v>能源占比合计</x:v>
      </x:c>
      <x:c r="C53" s="18" t="str">
        <x:v>%</x:v>
      </x:c>
      <x:c r="D53" s="18" t="str">
        <x:v>四类官方占比相加</x:v>
      </x:c>
      <x:c r="E53" s="18" t="str">
        <x:v>energy_total</x:v>
      </x:c>
      <x:c r="F53" s="18" t="str">
        <x:v>否</x:v>
      </x:c>
    </x:row>
    <x:row r="54" ht="44" customHeight="1">
      <x:c r="A54" s="18" t="str">
        <x:v>rounding_residual_tce_10k</x:v>
      </x:c>
      <x:c r="B54" s="18" t="str">
        <x:v>能源结构舍入差额</x:v>
      </x:c>
      <x:c r="C54" s="18" t="str">
        <x:v>万吨标准煤</x:v>
      </x:c>
      <x:c r="D54" s="18" t="str">
        <x:v>总量×(100−四类占比合计)÷100</x:v>
      </x:c>
      <x:c r="E54" s="18" t="str">
        <x:v>energy_total</x:v>
      </x:c>
      <x:c r="F54" s="18" t="str">
        <x:v>否</x:v>
      </x:c>
    </x:row>
    <x:row r="55" ht="44" customHeight="1">
      <x:c r="A55" s="18" t="str">
        <x:v>amount_estimated_tce_10k</x:v>
      </x:c>
      <x:c r="B55" s="18" t="str">
        <x:v>能源品种折标消费量估算值</x:v>
      </x:c>
      <x:c r="C55" s="18" t="str">
        <x:v>万吨标准煤</x:v>
      </x:c>
      <x:c r="D55" s="18" t="str">
        <x:v>总量×品种占比÷100；不是实物量</x:v>
      </x:c>
      <x:c r="E55" s="18" t="str">
        <x:v>energy_total</x:v>
      </x:c>
      <x:c r="F55" s="18" t="str">
        <x:v>否</x:v>
      </x:c>
    </x:row>
    <x:row r="56" ht="44" customHeight="1">
      <x:c r="A56" s="18" t="str">
        <x:v>amount_yoy_calculated_pct</x:v>
      </x:c>
      <x:c r="B56" s="18" t="str">
        <x:v>能源品种估算折标量较上年变化</x:v>
      </x:c>
      <x:c r="C56" s="18" t="str">
        <x:v>%</x:v>
      </x:c>
      <x:c r="D56" s="18" t="str">
        <x:v>(当年估算折标量÷上年估算折标量−1)×100</x:v>
      </x:c>
      <x:c r="E56" s="18" t="str">
        <x:v>energy_total</x:v>
      </x:c>
      <x:c r="F56" s="18" t="str">
        <x:v>否</x:v>
      </x:c>
    </x:row>
    <x:row r="57" ht="44" customHeight="1">
      <x:c r="A57" s="18" t="str">
        <x:v>share_change_pp</x:v>
      </x:c>
      <x:c r="B57" s="18" t="str">
        <x:v>能源品种占比较上年变化</x:v>
      </x:c>
      <x:c r="C57" s="18" t="str">
        <x:v>百分点</x:v>
      </x:c>
      <x:c r="D57" s="18" t="str">
        <x:v>当年占比−上年占比</x:v>
      </x:c>
      <x:c r="E57" s="18" t="str">
        <x:v>energy_total</x:v>
      </x:c>
      <x:c r="F57" s="18" t="str">
        <x:v>否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18" hidden="0" customWidth="1"/>
    <x:col min="4" max="4" width="80" hidden="0" customWidth="1"/>
    <x:col min="5" max="5" width="20" hidden="0" customWidth="1"/>
  </x:cols>
  <x:sheetData>
    <x:row r="1" ht="23" customHeight="1">
      <x:c r="A1" s="3" t="str">
        <x:v>覆盖情况</x:v>
      </x:c>
      <x:c r="B1" s="2"/>
      <x:c r="C1" s="2"/>
      <x:c r="D1" s="2"/>
      <x:c r="E1" s="2"/>
    </x:row>
    <x:row r="2" ht="23" customHeight="1">
      <x:c r="A2" s="4" t="str">
        <x:v>查询范围 2008—2025；空值未补零或插值。15 项核心指标在 2009—2023 年均完整。</x:v>
      </x:c>
      <x:c r="B2" s="2"/>
      <x:c r="C2" s="2"/>
      <x:c r="D2" s="2"/>
      <x:c r="E2" s="2"/>
    </x:row>
    <x:row r="3" ht="23" customHeight="1">
      <x:c r="A3" s="2"/>
      <x:c r="B3" s="2"/>
      <x:c r="C3" s="2"/>
      <x:c r="D3" s="2"/>
      <x:c r="E3" s="2"/>
    </x:row>
    <x:row r="4" ht="34" customHeight="1">
      <x:c r="A4" s="8" t="str">
        <x:v>指标名称</x:v>
      </x:c>
      <x:c r="B4" s="8" t="str">
        <x:v>首个非空年</x:v>
      </x:c>
      <x:c r="C4" s="8" t="str">
        <x:v>最后非空年</x:v>
      </x:c>
      <x:c r="D4" s="8" t="str">
        <x:v>缺失年份</x:v>
      </x:c>
      <x:c r="E4" s="8" t="str">
        <x:v>看板核心字段</x:v>
      </x:c>
    </x:row>
    <x:row r="5" ht="32" customHeight="1">
      <x:c r="A5" s="2" t="str">
        <x:v>能源生产弹性系数 (-)</x:v>
      </x:c>
      <x:c r="B5" s="19" t="n">
        <x:v>2008</x:v>
      </x:c>
      <x:c r="C5" s="19" t="n">
        <x:v>2024</x:v>
      </x:c>
      <x:c r="D5" s="18" t="str">
        <x:v>2015,2016,2025</x:v>
      </x:c>
      <x:c r="E5" s="2" t="str">
        <x:v>否</x:v>
      </x:c>
    </x:row>
    <x:row r="6" ht="32" customHeight="1">
      <x:c r="A6" s="2" t="str">
        <x:v>电力生产弹性系数 (-)</x:v>
      </x:c>
      <x:c r="B6" s="19" t="n">
        <x:v>2008</x:v>
      </x:c>
      <x:c r="C6" s="19" t="n">
        <x:v>2024</x:v>
      </x:c>
      <x:c r="D6" s="18" t="str">
        <x:v>2025</x:v>
      </x:c>
      <x:c r="E6" s="2" t="str">
        <x:v>否</x:v>
      </x:c>
    </x:row>
    <x:row r="7" ht="32" customHeight="1">
      <x:c r="A7" s="2" t="str">
        <x:v>能源消费弹性系数 (-)</x:v>
      </x:c>
      <x:c r="B7" s="19" t="n">
        <x:v>2008</x:v>
      </x:c>
      <x:c r="C7" s="19" t="n">
        <x:v>2024</x:v>
      </x:c>
      <x:c r="D7" s="18" t="str">
        <x:v>2025</x:v>
      </x:c>
      <x:c r="E7" s="2" t="str">
        <x:v>否</x:v>
      </x:c>
    </x:row>
    <x:row r="8" ht="32" customHeight="1">
      <x:c r="A8" s="2" t="str">
        <x:v>电力消费弹性系数 (-)</x:v>
      </x:c>
      <x:c r="B8" s="19" t="n">
        <x:v>2008</x:v>
      </x:c>
      <x:c r="C8" s="19" t="n">
        <x:v>2024</x:v>
      </x:c>
      <x:c r="D8" s="18" t="str">
        <x:v>2025</x:v>
      </x:c>
      <x:c r="E8" s="2" t="str">
        <x:v>否</x:v>
      </x:c>
    </x:row>
    <x:row r="9" ht="32" customHeight="1">
      <x:c r="A9" s="2" t="str">
        <x:v>人均生活能源消费量 (千克标准煤)</x:v>
      </x:c>
      <x:c r="B9" s="19" t="n">
        <x:v>2008</x:v>
      </x:c>
      <x:c r="C9" s="19" t="n">
        <x:v>2023</x:v>
      </x:c>
      <x:c r="D9" s="18" t="str">
        <x:v>2024,2025</x:v>
      </x:c>
      <x:c r="E9" s="2" t="str">
        <x:v>是</x:v>
      </x:c>
    </x:row>
    <x:row r="10" ht="32" customHeight="1">
      <x:c r="A10" s="2" t="str">
        <x:v>人均煤炭生活消费量 (千克)</x:v>
      </x:c>
      <x:c r="B10" s="19" t="n">
        <x:v>2008</x:v>
      </x:c>
      <x:c r="C10" s="19" t="n">
        <x:v>2023</x:v>
      </x:c>
      <x:c r="D10" s="18" t="str">
        <x:v>2024,2025</x:v>
      </x:c>
      <x:c r="E10" s="2" t="str">
        <x:v>否</x:v>
      </x:c>
    </x:row>
    <x:row r="11" ht="32" customHeight="1">
      <x:c r="A11" s="2" t="str">
        <x:v>人均电力生活消费量 (千瓦小时)</x:v>
      </x:c>
      <x:c r="B11" s="19" t="n">
        <x:v>2008</x:v>
      </x:c>
      <x:c r="C11" s="19" t="n">
        <x:v>2023</x:v>
      </x:c>
      <x:c r="D11" s="18" t="str">
        <x:v>2024,2025</x:v>
      </x:c>
      <x:c r="E11" s="2" t="str">
        <x:v>否</x:v>
      </x:c>
    </x:row>
    <x:row r="12" ht="32" customHeight="1">
      <x:c r="A12" s="2" t="str">
        <x:v>人均煤油生活消费量 (千克)</x:v>
      </x:c>
      <x:c r="B12" s="19" t="n">
        <x:v>2008</x:v>
      </x:c>
      <x:c r="C12" s="19" t="n">
        <x:v>2012</x:v>
      </x:c>
      <x:c r="D12" s="18" t="str">
        <x:v>2013,2014,2015,2016,2017,2018,2019,2020,2021,2022,2023,2024,2025</x:v>
      </x:c>
      <x:c r="E12" s="2" t="str">
        <x:v>否</x:v>
      </x:c>
    </x:row>
    <x:row r="13" ht="32" customHeight="1">
      <x:c r="A13" s="2" t="str">
        <x:v>人均液化石油气生活消费量 (千克)</x:v>
      </x:c>
      <x:c r="B13" s="19" t="n">
        <x:v>2008</x:v>
      </x:c>
      <x:c r="C13" s="19" t="n">
        <x:v>2023</x:v>
      </x:c>
      <x:c r="D13" s="18" t="str">
        <x:v>2024,2025</x:v>
      </x:c>
      <x:c r="E13" s="2" t="str">
        <x:v>否</x:v>
      </x:c>
    </x:row>
    <x:row r="14" ht="32" customHeight="1">
      <x:c r="A14" s="2" t="str">
        <x:v>人均天然气生活消费量 (立方米)</x:v>
      </x:c>
      <x:c r="B14" s="19" t="n">
        <x:v>2008</x:v>
      </x:c>
      <x:c r="C14" s="19" t="n">
        <x:v>2023</x:v>
      </x:c>
      <x:c r="D14" s="18" t="str">
        <x:v>2024,2025</x:v>
      </x:c>
      <x:c r="E14" s="2" t="str">
        <x:v>否</x:v>
      </x:c>
    </x:row>
    <x:row r="15" ht="32" customHeight="1">
      <x:c r="A15" s="2" t="str">
        <x:v>人均煤气生活消费量 (立方米)</x:v>
      </x:c>
      <x:c r="B15" s="19" t="n">
        <x:v>2008</x:v>
      </x:c>
      <x:c r="C15" s="19" t="n">
        <x:v>2023</x:v>
      </x:c>
      <x:c r="D15" s="18" t="str">
        <x:v>2024,2025</x:v>
      </x:c>
      <x:c r="E15" s="2" t="str">
        <x:v>否</x:v>
      </x:c>
    </x:row>
    <x:row r="16" ht="32" customHeight="1">
      <x:c r="A16" s="2" t="str">
        <x:v>能源消费总量 (万吨标准煤)</x:v>
      </x:c>
      <x:c r="B16" s="19" t="n">
        <x:v>2008</x:v>
      </x:c>
      <x:c r="C16" s="19" t="n">
        <x:v>2025</x:v>
      </x:c>
      <x:c r="D16" s="18" t="str"/>
      <x:c r="E16" s="2" t="str">
        <x:v>是</x:v>
      </x:c>
    </x:row>
    <x:row r="17" ht="32" customHeight="1">
      <x:c r="A17" s="2" t="str">
        <x:v>煤炭占能源消费总量的比重 (%)</x:v>
      </x:c>
      <x:c r="B17" s="19" t="n">
        <x:v>2008</x:v>
      </x:c>
      <x:c r="C17" s="19" t="n">
        <x:v>2025</x:v>
      </x:c>
      <x:c r="D17" s="18" t="str"/>
      <x:c r="E17" s="2" t="str">
        <x:v>是</x:v>
      </x:c>
    </x:row>
    <x:row r="18" ht="32" customHeight="1">
      <x:c r="A18" s="2" t="str">
        <x:v>石油占能源消费总量的比重 (%)</x:v>
      </x:c>
      <x:c r="B18" s="19" t="n">
        <x:v>2008</x:v>
      </x:c>
      <x:c r="C18" s="19" t="n">
        <x:v>2025</x:v>
      </x:c>
      <x:c r="D18" s="18" t="str"/>
      <x:c r="E18" s="2" t="str">
        <x:v>是</x:v>
      </x:c>
    </x:row>
    <x:row r="19" ht="32" customHeight="1">
      <x:c r="A19" s="2" t="str">
        <x:v>天然气占能源消费总量的比重 (%)</x:v>
      </x:c>
      <x:c r="B19" s="19" t="n">
        <x:v>2008</x:v>
      </x:c>
      <x:c r="C19" s="19" t="n">
        <x:v>2025</x:v>
      </x:c>
      <x:c r="D19" s="18" t="str"/>
      <x:c r="E19" s="2" t="str">
        <x:v>是</x:v>
      </x:c>
    </x:row>
    <x:row r="20" ht="32" customHeight="1">
      <x:c r="A20" s="2" t="str">
        <x:v>一次电力及其他能源占能源总量的比重 (%)</x:v>
      </x:c>
      <x:c r="B20" s="19" t="n">
        <x:v>2008</x:v>
      </x:c>
      <x:c r="C20" s="19" t="n">
        <x:v>2025</x:v>
      </x:c>
      <x:c r="D20" s="18" t="str"/>
      <x:c r="E20" s="2" t="str">
        <x:v>是</x:v>
      </x:c>
    </x:row>
    <x:row r="21" ht="32" customHeight="1">
      <x:c r="A21" s="2" t="str">
        <x:v>煤炭消费量 (万吨)</x:v>
      </x:c>
      <x:c r="B21" s="19" t="n">
        <x:v>2008</x:v>
      </x:c>
      <x:c r="C21" s="19" t="n">
        <x:v>2023</x:v>
      </x:c>
      <x:c r="D21" s="18" t="str">
        <x:v>2024,2025</x:v>
      </x:c>
      <x:c r="E21" s="2" t="str">
        <x:v>否</x:v>
      </x:c>
    </x:row>
    <x:row r="22" ht="32" customHeight="1">
      <x:c r="A22" s="2" t="str">
        <x:v>焦炭消费量 (万吨)</x:v>
      </x:c>
      <x:c r="B22" s="19" t="n">
        <x:v>2008</x:v>
      </x:c>
      <x:c r="C22" s="19" t="n">
        <x:v>2023</x:v>
      </x:c>
      <x:c r="D22" s="18" t="str">
        <x:v>2024,2025</x:v>
      </x:c>
      <x:c r="E22" s="2" t="str">
        <x:v>否</x:v>
      </x:c>
    </x:row>
    <x:row r="23" ht="32" customHeight="1">
      <x:c r="A23" s="2" t="str">
        <x:v>原油消费量 (万吨)</x:v>
      </x:c>
      <x:c r="B23" s="19" t="n">
        <x:v>2008</x:v>
      </x:c>
      <x:c r="C23" s="19" t="n">
        <x:v>2023</x:v>
      </x:c>
      <x:c r="D23" s="18" t="str">
        <x:v>2024,2025</x:v>
      </x:c>
      <x:c r="E23" s="2" t="str">
        <x:v>否</x:v>
      </x:c>
    </x:row>
    <x:row r="24" ht="32" customHeight="1">
      <x:c r="A24" s="2" t="str">
        <x:v>汽油消费量 (万吨)</x:v>
      </x:c>
      <x:c r="B24" s="19" t="n">
        <x:v>2008</x:v>
      </x:c>
      <x:c r="C24" s="19" t="n">
        <x:v>2023</x:v>
      </x:c>
      <x:c r="D24" s="18" t="str">
        <x:v>2024,2025</x:v>
      </x:c>
      <x:c r="E24" s="2" t="str">
        <x:v>否</x:v>
      </x:c>
    </x:row>
    <x:row r="25" ht="32" customHeight="1">
      <x:c r="A25" s="2" t="str">
        <x:v>煤油消费量 (万吨)</x:v>
      </x:c>
      <x:c r="B25" s="19" t="n">
        <x:v>2008</x:v>
      </x:c>
      <x:c r="C25" s="19" t="n">
        <x:v>2023</x:v>
      </x:c>
      <x:c r="D25" s="18" t="str">
        <x:v>2024,2025</x:v>
      </x:c>
      <x:c r="E25" s="2" t="str">
        <x:v>否</x:v>
      </x:c>
    </x:row>
    <x:row r="26" ht="32" customHeight="1">
      <x:c r="A26" s="2" t="str">
        <x:v>柴油消费量 (万吨)</x:v>
      </x:c>
      <x:c r="B26" s="19" t="n">
        <x:v>2008</x:v>
      </x:c>
      <x:c r="C26" s="19" t="n">
        <x:v>2023</x:v>
      </x:c>
      <x:c r="D26" s="18" t="str">
        <x:v>2024,2025</x:v>
      </x:c>
      <x:c r="E26" s="2" t="str">
        <x:v>否</x:v>
      </x:c>
    </x:row>
    <x:row r="27" ht="32" customHeight="1">
      <x:c r="A27" s="2" t="str">
        <x:v>燃料油消费量 (万吨)</x:v>
      </x:c>
      <x:c r="B27" s="19" t="n">
        <x:v>2008</x:v>
      </x:c>
      <x:c r="C27" s="19" t="n">
        <x:v>2023</x:v>
      </x:c>
      <x:c r="D27" s="18" t="str">
        <x:v>2024,2025</x:v>
      </x:c>
      <x:c r="E27" s="2" t="str">
        <x:v>否</x:v>
      </x:c>
    </x:row>
    <x:row r="28" ht="32" customHeight="1">
      <x:c r="A28" s="2" t="str">
        <x:v>天然气消费量 (亿立方米)</x:v>
      </x:c>
      <x:c r="B28" s="19" t="n">
        <x:v>2008</x:v>
      </x:c>
      <x:c r="C28" s="19" t="n">
        <x:v>2023</x:v>
      </x:c>
      <x:c r="D28" s="18" t="str">
        <x:v>2024,2025</x:v>
      </x:c>
      <x:c r="E28" s="2" t="str">
        <x:v>否</x:v>
      </x:c>
    </x:row>
    <x:row r="29" ht="32" customHeight="1">
      <x:c r="A29" s="2" t="str">
        <x:v>电力消费量 (亿千瓦小时)</x:v>
      </x:c>
      <x:c r="B29" s="19" t="n">
        <x:v>2008</x:v>
      </x:c>
      <x:c r="C29" s="19" t="n">
        <x:v>2023</x:v>
      </x:c>
      <x:c r="D29" s="18" t="str">
        <x:v>2024,2025</x:v>
      </x:c>
      <x:c r="E29" s="2" t="str">
        <x:v>否</x:v>
      </x:c>
    </x:row>
    <x:row r="30" ht="32" customHeight="1">
      <x:c r="A30" s="2" t="str">
        <x:v>年末总人口 (万人)</x:v>
      </x:c>
      <x:c r="B30" s="19" t="n">
        <x:v>2008</x:v>
      </x:c>
      <x:c r="C30" s="19" t="n">
        <x:v>2025</x:v>
      </x:c>
      <x:c r="D30" s="18" t="str"/>
      <x:c r="E30" s="2" t="str">
        <x:v>否</x:v>
      </x:c>
    </x:row>
    <x:row r="31" ht="32" customHeight="1">
      <x:c r="A31" s="2" t="str">
        <x:v>0-14岁人口 (万人)</x:v>
      </x:c>
      <x:c r="B31" s="19" t="n">
        <x:v>2008</x:v>
      </x:c>
      <x:c r="C31" s="19" t="n">
        <x:v>2025</x:v>
      </x:c>
      <x:c r="D31" s="18" t="str"/>
      <x:c r="E31" s="2" t="str">
        <x:v>是</x:v>
      </x:c>
    </x:row>
    <x:row r="32" ht="32" customHeight="1">
      <x:c r="A32" s="2" t="str">
        <x:v>15-64岁人口 (万人)</x:v>
      </x:c>
      <x:c r="B32" s="19" t="n">
        <x:v>2008</x:v>
      </x:c>
      <x:c r="C32" s="19" t="n">
        <x:v>2025</x:v>
      </x:c>
      <x:c r="D32" s="18" t="str"/>
      <x:c r="E32" s="2" t="str">
        <x:v>是</x:v>
      </x:c>
    </x:row>
    <x:row r="33" ht="32" customHeight="1">
      <x:c r="A33" s="2" t="str">
        <x:v>65岁及以上人口 (万人)</x:v>
      </x:c>
      <x:c r="B33" s="19" t="n">
        <x:v>2008</x:v>
      </x:c>
      <x:c r="C33" s="19" t="n">
        <x:v>2025</x:v>
      </x:c>
      <x:c r="D33" s="18" t="str"/>
      <x:c r="E33" s="2" t="str">
        <x:v>是</x:v>
      </x:c>
    </x:row>
    <x:row r="34" ht="32" customHeight="1">
      <x:c r="A34" s="2" t="str">
        <x:v>总抚养比 (%)</x:v>
      </x:c>
      <x:c r="B34" s="19" t="n">
        <x:v>2008</x:v>
      </x:c>
      <x:c r="C34" s="19" t="n">
        <x:v>2025</x:v>
      </x:c>
      <x:c r="D34" s="18" t="str"/>
      <x:c r="E34" s="2" t="str">
        <x:v>否</x:v>
      </x:c>
    </x:row>
    <x:row r="35" ht="32" customHeight="1">
      <x:c r="A35" s="2" t="str">
        <x:v>少儿抚养比 (%)</x:v>
      </x:c>
      <x:c r="B35" s="19" t="n">
        <x:v>2008</x:v>
      </x:c>
      <x:c r="C35" s="19" t="n">
        <x:v>2025</x:v>
      </x:c>
      <x:c r="D35" s="18" t="str"/>
      <x:c r="E35" s="2" t="str">
        <x:v>否</x:v>
      </x:c>
    </x:row>
    <x:row r="36" ht="32" customHeight="1">
      <x:c r="A36" s="2" t="str">
        <x:v>老年抚养比 (%)</x:v>
      </x:c>
      <x:c r="B36" s="19" t="n">
        <x:v>2008</x:v>
      </x:c>
      <x:c r="C36" s="19" t="n">
        <x:v>2025</x:v>
      </x:c>
      <x:c r="D36" s="18" t="str"/>
      <x:c r="E36" s="2" t="str">
        <x:v>否</x:v>
      </x:c>
    </x:row>
    <x:row r="37" ht="32" customHeight="1">
      <x:c r="A37" s="2" t="str">
        <x:v>人口出生率 (‰)</x:v>
      </x:c>
      <x:c r="B37" s="19" t="n">
        <x:v>2008</x:v>
      </x:c>
      <x:c r="C37" s="19" t="n">
        <x:v>2025</x:v>
      </x:c>
      <x:c r="D37" s="18" t="str"/>
      <x:c r="E37" s="2" t="str">
        <x:v>是</x:v>
      </x:c>
    </x:row>
    <x:row r="38" ht="32" customHeight="1">
      <x:c r="A38" s="2" t="str">
        <x:v>人口死亡率 (‰)</x:v>
      </x:c>
      <x:c r="B38" s="19" t="n">
        <x:v>2008</x:v>
      </x:c>
      <x:c r="C38" s="19" t="n">
        <x:v>2025</x:v>
      </x:c>
      <x:c r="D38" s="18" t="str"/>
      <x:c r="E38" s="2" t="str">
        <x:v>是</x:v>
      </x:c>
    </x:row>
    <x:row r="39" ht="32" customHeight="1">
      <x:c r="A39" s="2" t="str">
        <x:v>人口自然增长率 (‰)</x:v>
      </x:c>
      <x:c r="B39" s="19" t="n">
        <x:v>2008</x:v>
      </x:c>
      <x:c r="C39" s="19" t="n">
        <x:v>2025</x:v>
      </x:c>
      <x:c r="D39" s="18" t="str"/>
      <x:c r="E39" s="2" t="str">
        <x:v>是</x:v>
      </x:c>
    </x:row>
    <x:row r="40" ht="32" customHeight="1">
      <x:c r="A40" s="2" t="str">
        <x:v>年末总人口 (万人)</x:v>
      </x:c>
      <x:c r="B40" s="19" t="n">
        <x:v>2008</x:v>
      </x:c>
      <x:c r="C40" s="19" t="n">
        <x:v>2025</x:v>
      </x:c>
      <x:c r="D40" s="18" t="str"/>
      <x:c r="E40" s="2" t="str">
        <x:v>是</x:v>
      </x:c>
    </x:row>
    <x:row r="41" ht="32" customHeight="1">
      <x:c r="A41" s="2" t="str">
        <x:v>男性人口 (万人)</x:v>
      </x:c>
      <x:c r="B41" s="19" t="n">
        <x:v>2008</x:v>
      </x:c>
      <x:c r="C41" s="19" t="n">
        <x:v>2025</x:v>
      </x:c>
      <x:c r="D41" s="18" t="str"/>
      <x:c r="E41" s="2" t="str">
        <x:v>否</x:v>
      </x:c>
    </x:row>
    <x:row r="42" ht="32" customHeight="1">
      <x:c r="A42" s="2" t="str">
        <x:v>女性人口 (万人)</x:v>
      </x:c>
      <x:c r="B42" s="19" t="n">
        <x:v>2008</x:v>
      </x:c>
      <x:c r="C42" s="19" t="n">
        <x:v>2025</x:v>
      </x:c>
      <x:c r="D42" s="18" t="str"/>
      <x:c r="E42" s="2" t="str">
        <x:v>否</x:v>
      </x:c>
    </x:row>
    <x:row r="43" ht="32" customHeight="1">
      <x:c r="A43" s="2" t="str">
        <x:v>城镇人口 (万人)</x:v>
      </x:c>
      <x:c r="B43" s="19" t="n">
        <x:v>2008</x:v>
      </x:c>
      <x:c r="C43" s="19" t="n">
        <x:v>2025</x:v>
      </x:c>
      <x:c r="D43" s="18" t="str"/>
      <x:c r="E43" s="2" t="str">
        <x:v>是</x:v>
      </x:c>
    </x:row>
    <x:row r="44" ht="32" customHeight="1">
      <x:c r="A44" s="2" t="str">
        <x:v>乡村人口 (万人)</x:v>
      </x:c>
      <x:c r="B44" s="19" t="n">
        <x:v>2008</x:v>
      </x:c>
      <x:c r="C44" s="19" t="n">
        <x:v>2025</x:v>
      </x:c>
      <x:c r="D44" s="18" t="str"/>
      <x:c r="E44" s="2" t="str">
        <x:v>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32" hidden="0" customWidth="1"/>
  </x:cols>
  <x:sheetData>
    <x:row r="1" ht="23" customHeight="1">
      <x:c r="A1" s="3" t="str">
        <x:v>来源与口径</x:v>
      </x:c>
      <x:c r="B1" s="2"/>
    </x:row>
    <x:row r="2" ht="23" customHeight="1">
      <x:c r="A2" s="4" t="str">
        <x:v>公开年度统计数据；数据下载与整理阶段，尚未制作交互看板。</x:v>
      </x:c>
      <x:c r="B2" s="2"/>
    </x:row>
    <x:row r="3" ht="23" customHeight="1">
      <x:c r="A3" s="2"/>
      <x:c r="B3" s="2"/>
    </x:row>
    <x:row r="4" ht="34" customHeight="1">
      <x:c r="A4" s="8" t="str">
        <x:v>项目</x:v>
      </x:c>
      <x:c r="B4" s="8" t="str">
        <x:v>说明</x:v>
      </x:c>
    </x:row>
    <x:row r="5" ht="42" customHeight="1">
      <x:c r="A5" s="18" t="str">
        <x:v>数据来源</x:v>
      </x:c>
      <x:c r="B5" s="18" t="str">
        <x:v>国家统计局国家数据，全国年度数据；地区代码 000000000000。</x:v>
      </x:c>
    </x:row>
    <x:row r="6" ht="42" customHeight="1">
      <x:c r="A6" s="18" t="str">
        <x:v>查询页面</x:v>
      </x:c>
      <x:c r="B6" s="18" t="str">
        <x:v>https://data.stats.gov.cn/dg/website/page.html#/pc/national/yearData</x:v>
      </x:c>
    </x:row>
    <x:row r="7" ht="42" customHeight="1">
      <x:c r="A7" s="18" t="str">
        <x:v>获取日期</x:v>
      </x:c>
      <x:c r="B7" s="18" t="str">
        <x:v>2026-10-29；逐请求 UTC 时间及 SHA-256 见 data/raw/manifest.json。</x:v>
      </x:c>
    </x:row>
    <x:row r="8" ht="42" customHeight="1">
      <x:c r="A8" s="18" t="str">
        <x:v>完整展示期</x:v>
      </x:c>
      <x:c r="B8" s="18" t="str">
        <x:v>2009—2023 年，共 15 年；2008 年用于计算第一年同比。</x:v>
      </x:c>
    </x:row>
    <x:row r="9" ht="42" customHeight="1">
      <x:c r="A9" s="18" t="str">
        <x:v>最新扩展期</x:v>
      </x:c>
      <x:c r="B9" s="18" t="str">
        <x:v>保留查询库中的 2024—2025 年数据；人均生活用能等缺失值为空，不代表其他官方渠道尚未发布。</x:v>
      </x:c>
    </x:row>
    <x:row r="10" ht="42" customHeight="1">
      <x:c r="A10" s="18" t="str">
        <x:v>人口原始来源</x:v>
      </x:c>
      <x:c r="B10" s="18" t="str">
        <x:v>data/raw/population_total_data.json、population_rates_data.json、population_age_data.json</x:v>
      </x:c>
    </x:row>
    <x:row r="11" ht="42" customHeight="1">
      <x:c r="A11" s="18" t="str">
        <x:v>能源原始来源</x:v>
      </x:c>
      <x:c r="B11" s="18" t="str">
        <x:v>data/raw/energy_total_data.json、energy_living_per_capita_data.json；弹性系数为备用原始数据。</x:v>
      </x:c>
    </x:row>
    <x:row r="12" ht="42" customHeight="1">
      <x:c r="A12" s="18" t="str">
        <x:v>能源分组</x:v>
      </x:c>
      <x:c r="B12" s="18" t="str">
        <x:v>煤炭、石油、天然气、一次电力及其他能源；保留官方分类，不改名为清洁能源。</x:v>
      </x:c>
    </x:row>
    <x:row r="13" ht="42" customHeight="1">
      <x:c r="A13" s="18" t="str">
        <x:v>能源折标量</x:v>
      </x:c>
      <x:c r="B13" s="18" t="str">
        <x:v>由总量×占比推算，仅为标准煤口径估算值；不可与实物煤炭吨数或电量等混合相加。</x:v>
      </x:c>
    </x:row>
    <x:row r="14" ht="42" customHeight="1">
      <x:c r="A14" s="18" t="str">
        <x:v>增速口径</x:v>
      </x:c>
      <x:c r="B14" s="18" t="str">
        <x:v>能源年度表提供当前总量序列的自算变化，官方可比增速未取得并保留空值。</x:v>
      </x:c>
    </x:row>
    <x:row r="15" ht="42" customHeight="1">
      <x:c r="A15" s="18" t="str">
        <x:v>人口修订</x:v>
      </x:c>
      <x:c r="B15" s="18" t="str">
        <x:v>官方年龄表注释：2011—2019 年数据根据 2020 年人口普查数据修订。</x:v>
      </x:c>
    </x:row>
    <x:row r="16" ht="42" customHeight="1">
      <x:c r="A16" s="18" t="str">
        <x:v>舍入差异</x:v>
      </x:c>
      <x:c r="B16" s="18" t="str">
        <x:v>2018 年年龄分组合计少 1 万人；2019 年能源占比合计 99.9%，保留原值。</x:v>
      </x:c>
    </x:row>
    <x:row r="17" ht="42" customHeight="1">
      <x:c r="A17" s="18" t="str">
        <x:v>人均口径</x:v>
      </x:c>
      <x:c r="B17" s="18" t="str">
        <x:v>采用官方人均生活能源消费量，不用全国总能源÷年末人口代替。</x:v>
      </x:c>
    </x:row>
    <x:row r="18" ht="42" customHeight="1">
      <x:c r="A18" s="18" t="str">
        <x:v>文件关系</x:v>
      </x:c>
      <x:c r="B18" s="18" t="str">
        <x:v>原始响应不改写；CSV 是可复现清洗结果；本工作簿为便于人工核验的整理版。</x:v>
      </x:c>
    </x:row>
  </x:sheetData>
  <x:pageMargins left="0.7" right="0.7" top="0.75" bottom="0.75" header="0.3" footer="0.3"/>
</x:worksheet>
</file>